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er\Desktop\UNICAH\ESTADÍSTICA I\II Partial\"/>
    </mc:Choice>
  </mc:AlternateContent>
  <xr:revisionPtr revIDLastSave="0" documentId="13_ncr:1_{A2C58E9C-480D-40A8-B7CD-12CE4D1E7248}" xr6:coauthVersionLast="47" xr6:coauthVersionMax="47" xr10:uidLastSave="{00000000-0000-0000-0000-000000000000}"/>
  <bookViews>
    <workbookView xWindow="-120" yWindow="-120" windowWidth="19440" windowHeight="11040" activeTab="2" xr2:uid="{D5D8A091-7714-45B2-A36A-A09494D482C9}"/>
  </bookViews>
  <sheets>
    <sheet name="Ejercicios M, Mo, Me" sheetId="2" r:id="rId1"/>
    <sheet name="MEDIDAS DE POSICION" sheetId="3" r:id="rId2"/>
    <sheet name="MEDIDAS DE DIPERSION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75" i="4" l="1"/>
  <c r="BC74" i="4"/>
  <c r="BE71" i="4"/>
  <c r="BC36" i="4"/>
  <c r="BC55" i="4"/>
  <c r="BH51" i="4"/>
  <c r="BH29" i="4"/>
  <c r="BG30" i="4"/>
  <c r="BH45" i="4"/>
  <c r="BG46" i="4"/>
  <c r="BG26" i="4"/>
  <c r="BF45" i="4"/>
  <c r="BF46" i="4"/>
  <c r="BF47" i="4"/>
  <c r="BF48" i="4"/>
  <c r="BF49" i="4"/>
  <c r="BF50" i="4"/>
  <c r="BF44" i="4"/>
  <c r="BC35" i="4"/>
  <c r="BC54" i="4"/>
  <c r="BE51" i="4"/>
  <c r="BC51" i="4"/>
  <c r="BE67" i="4"/>
  <c r="BE64" i="4"/>
  <c r="BD68" i="4"/>
  <c r="BD64" i="4"/>
  <c r="BC71" i="4"/>
  <c r="BD70" i="4"/>
  <c r="BE70" i="4" s="1"/>
  <c r="BD69" i="4"/>
  <c r="BE69" i="4" s="1"/>
  <c r="BE68" i="4"/>
  <c r="BD67" i="4"/>
  <c r="BD66" i="4"/>
  <c r="BD65" i="4"/>
  <c r="BE45" i="4"/>
  <c r="BE44" i="4"/>
  <c r="BD47" i="4"/>
  <c r="BD45" i="4"/>
  <c r="BD46" i="4"/>
  <c r="BE46" i="4" s="1"/>
  <c r="BD48" i="4"/>
  <c r="BD49" i="4"/>
  <c r="BD50" i="4"/>
  <c r="BD44" i="4"/>
  <c r="BH32" i="4"/>
  <c r="BH26" i="4"/>
  <c r="BH27" i="4"/>
  <c r="BH28" i="4"/>
  <c r="BH30" i="4"/>
  <c r="BH31" i="4"/>
  <c r="BH25" i="4"/>
  <c r="BF26" i="4"/>
  <c r="BF27" i="4"/>
  <c r="BG27" i="4" s="1"/>
  <c r="BF28" i="4"/>
  <c r="BG28" i="4" s="1"/>
  <c r="BF29" i="4"/>
  <c r="BG29" i="4" s="1"/>
  <c r="BF30" i="4"/>
  <c r="BF31" i="4"/>
  <c r="BG31" i="4" s="1"/>
  <c r="BF25" i="4"/>
  <c r="BG25" i="4"/>
  <c r="BE32" i="4"/>
  <c r="BE26" i="4"/>
  <c r="BE27" i="4"/>
  <c r="BE28" i="4"/>
  <c r="BE29" i="4"/>
  <c r="BE30" i="4"/>
  <c r="BE31" i="4"/>
  <c r="BE25" i="4"/>
  <c r="BD25" i="4"/>
  <c r="BD26" i="4"/>
  <c r="BD27" i="4"/>
  <c r="BD28" i="4"/>
  <c r="BD29" i="4"/>
  <c r="BD30" i="4"/>
  <c r="BD31" i="4"/>
  <c r="BB2" i="4"/>
  <c r="BC3" i="4"/>
  <c r="BC4" i="4"/>
  <c r="BC5" i="4"/>
  <c r="BC6" i="4"/>
  <c r="BC7" i="4"/>
  <c r="BC2" i="4"/>
  <c r="BC8" i="4" s="1"/>
  <c r="BB11" i="4" s="1"/>
  <c r="BB3" i="4"/>
  <c r="BB4" i="4"/>
  <c r="BB5" i="4"/>
  <c r="BB6" i="4"/>
  <c r="BB7" i="4"/>
  <c r="AM3" i="4"/>
  <c r="AM43" i="4"/>
  <c r="AM34" i="4"/>
  <c r="AM33" i="4"/>
  <c r="AM32" i="4"/>
  <c r="AM45" i="4"/>
  <c r="AM44" i="4"/>
  <c r="AI49" i="4"/>
  <c r="AJ48" i="4"/>
  <c r="AJ47" i="4"/>
  <c r="AJ46" i="4"/>
  <c r="AJ45" i="4"/>
  <c r="AJ44" i="4"/>
  <c r="AJ43" i="4"/>
  <c r="AJ42" i="4"/>
  <c r="AJ31" i="4"/>
  <c r="AI38" i="4"/>
  <c r="AJ37" i="4"/>
  <c r="AJ36" i="4"/>
  <c r="AJ35" i="4"/>
  <c r="AJ34" i="4"/>
  <c r="AJ33" i="4"/>
  <c r="AJ32" i="4"/>
  <c r="AJ14" i="4"/>
  <c r="AJ15" i="4"/>
  <c r="AJ16" i="4"/>
  <c r="AJ17" i="4"/>
  <c r="AJ18" i="4"/>
  <c r="AJ19" i="4"/>
  <c r="AJ13" i="4"/>
  <c r="AI20" i="4"/>
  <c r="AM5" i="4"/>
  <c r="AM4" i="4"/>
  <c r="R53" i="4"/>
  <c r="R52" i="4"/>
  <c r="R51" i="4"/>
  <c r="AI9" i="4"/>
  <c r="AJ9" i="4"/>
  <c r="AJ3" i="4"/>
  <c r="AJ4" i="4"/>
  <c r="AJ5" i="4"/>
  <c r="AJ6" i="4"/>
  <c r="AJ7" i="4"/>
  <c r="AJ8" i="4"/>
  <c r="AJ2" i="4"/>
  <c r="R47" i="4"/>
  <c r="R46" i="4"/>
  <c r="R45" i="4"/>
  <c r="O45" i="4"/>
  <c r="O46" i="4"/>
  <c r="O47" i="4"/>
  <c r="O48" i="4"/>
  <c r="O49" i="4"/>
  <c r="O50" i="4"/>
  <c r="O51" i="4"/>
  <c r="O52" i="4"/>
  <c r="O53" i="4"/>
  <c r="O44" i="4"/>
  <c r="L17" i="4"/>
  <c r="L16" i="4"/>
  <c r="L15" i="4"/>
  <c r="S2" i="4"/>
  <c r="B44" i="4"/>
  <c r="B49" i="4"/>
  <c r="B48" i="4"/>
  <c r="B45" i="4"/>
  <c r="B41" i="4"/>
  <c r="E41" i="4"/>
  <c r="B14" i="4"/>
  <c r="B13" i="4"/>
  <c r="B21" i="4"/>
  <c r="I22" i="4"/>
  <c r="B20" i="4" s="1"/>
  <c r="AG37" i="3"/>
  <c r="AG36" i="3"/>
  <c r="AG35" i="3"/>
  <c r="AG34" i="3"/>
  <c r="AG33" i="3"/>
  <c r="AC35" i="3"/>
  <c r="AC36" i="3"/>
  <c r="AC37" i="3"/>
  <c r="AC38" i="3"/>
  <c r="AC39" i="3"/>
  <c r="AC40" i="3"/>
  <c r="AC41" i="3" s="1"/>
  <c r="AC34" i="3"/>
  <c r="AC33" i="3"/>
  <c r="AG20" i="3"/>
  <c r="AG19" i="3"/>
  <c r="AG18" i="3"/>
  <c r="AG17" i="3"/>
  <c r="AG16" i="3"/>
  <c r="AC3" i="3"/>
  <c r="AC4" i="3" s="1"/>
  <c r="AC5" i="3" s="1"/>
  <c r="AC6" i="3" s="1"/>
  <c r="AC7" i="3" s="1"/>
  <c r="AC8" i="3" s="1"/>
  <c r="AC18" i="3"/>
  <c r="AC19" i="3" s="1"/>
  <c r="AC20" i="3" s="1"/>
  <c r="AC21" i="3" s="1"/>
  <c r="AC22" i="3" s="1"/>
  <c r="AC23" i="3" s="1"/>
  <c r="AC24" i="3" s="1"/>
  <c r="AC16" i="3"/>
  <c r="AC17" i="3" s="1"/>
  <c r="AB25" i="3"/>
  <c r="B18" i="3"/>
  <c r="E3" i="3" s="1"/>
  <c r="E42" i="3"/>
  <c r="E41" i="3"/>
  <c r="E40" i="3"/>
  <c r="E39" i="3"/>
  <c r="E38" i="3"/>
  <c r="F39" i="3"/>
  <c r="B48" i="3"/>
  <c r="F38" i="3" s="1"/>
  <c r="B34" i="3"/>
  <c r="F25" i="3" s="1"/>
  <c r="E25" i="3"/>
  <c r="E23" i="3"/>
  <c r="E22" i="3"/>
  <c r="N21" i="2"/>
  <c r="S13" i="2"/>
  <c r="S12" i="2"/>
  <c r="P15" i="2"/>
  <c r="P16" i="2"/>
  <c r="P17" i="2" s="1"/>
  <c r="P18" i="2" s="1"/>
  <c r="P19" i="2" s="1"/>
  <c r="P20" i="2" s="1"/>
  <c r="P14" i="2"/>
  <c r="P3" i="2"/>
  <c r="P13" i="2"/>
  <c r="O21" i="2"/>
  <c r="O14" i="2"/>
  <c r="O15" i="2"/>
  <c r="O16" i="2"/>
  <c r="O17" i="2"/>
  <c r="O18" i="2"/>
  <c r="O19" i="2"/>
  <c r="O20" i="2"/>
  <c r="O13" i="2"/>
  <c r="N14" i="2"/>
  <c r="N15" i="2"/>
  <c r="N16" i="2"/>
  <c r="N17" i="2"/>
  <c r="N18" i="2"/>
  <c r="N19" i="2"/>
  <c r="N20" i="2"/>
  <c r="N13" i="2"/>
  <c r="M21" i="2"/>
  <c r="S2" i="2"/>
  <c r="I35" i="2"/>
  <c r="S1" i="2"/>
  <c r="H1" i="2"/>
  <c r="N8" i="2"/>
  <c r="P4" i="2"/>
  <c r="P5" i="2"/>
  <c r="P6" i="2" s="1"/>
  <c r="P7" i="2" s="1"/>
  <c r="P2" i="2"/>
  <c r="O8" i="2"/>
  <c r="O3" i="2"/>
  <c r="O4" i="2"/>
  <c r="O5" i="2"/>
  <c r="O6" i="2"/>
  <c r="O7" i="2"/>
  <c r="N3" i="2"/>
  <c r="N4" i="2"/>
  <c r="N5" i="2"/>
  <c r="N6" i="2"/>
  <c r="N7" i="2"/>
  <c r="N2" i="2"/>
  <c r="O2" i="2" s="1"/>
  <c r="M8" i="2"/>
  <c r="F33" i="2"/>
  <c r="F34" i="2" s="1"/>
  <c r="F35" i="2" s="1"/>
  <c r="F36" i="2" s="1"/>
  <c r="F37" i="2" s="1"/>
  <c r="E36" i="2"/>
  <c r="E33" i="2"/>
  <c r="D34" i="2"/>
  <c r="E34" i="2" s="1"/>
  <c r="D35" i="2"/>
  <c r="E35" i="2" s="1"/>
  <c r="D36" i="2"/>
  <c r="D37" i="2"/>
  <c r="E37" i="2" s="1"/>
  <c r="D33" i="2"/>
  <c r="C38" i="2"/>
  <c r="D38" i="2" s="1"/>
  <c r="C15" i="2"/>
  <c r="H20" i="2"/>
  <c r="E21" i="2"/>
  <c r="E22" i="2" s="1"/>
  <c r="E23" i="2" s="1"/>
  <c r="E24" i="2" s="1"/>
  <c r="E25" i="2" s="1"/>
  <c r="E26" i="2" s="1"/>
  <c r="E27" i="2" s="1"/>
  <c r="E20" i="2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13" i="2"/>
  <c r="D13" i="2" s="1"/>
  <c r="C11" i="2"/>
  <c r="D11" i="2" s="1"/>
  <c r="C20" i="2"/>
  <c r="D20" i="2" s="1"/>
  <c r="B28" i="2"/>
  <c r="C28" i="2" s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3" i="2"/>
  <c r="E2" i="2"/>
  <c r="H2" i="2"/>
  <c r="D12" i="2"/>
  <c r="D10" i="2"/>
  <c r="D5" i="2"/>
  <c r="D14" i="2"/>
  <c r="C3" i="2"/>
  <c r="D3" i="2" s="1"/>
  <c r="C4" i="2"/>
  <c r="D4" i="2" s="1"/>
  <c r="C5" i="2"/>
  <c r="C6" i="2"/>
  <c r="D6" i="2" s="1"/>
  <c r="C7" i="2"/>
  <c r="D7" i="2" s="1"/>
  <c r="C8" i="2"/>
  <c r="D8" i="2" s="1"/>
  <c r="C9" i="2"/>
  <c r="D9" i="2" s="1"/>
  <c r="C10" i="2"/>
  <c r="C12" i="2"/>
  <c r="C14" i="2"/>
  <c r="C2" i="2"/>
  <c r="D2" i="2" s="1"/>
  <c r="BF70" i="4" l="1"/>
  <c r="BF64" i="4"/>
  <c r="BF65" i="4"/>
  <c r="BF66" i="4"/>
  <c r="BF69" i="4"/>
  <c r="BF67" i="4"/>
  <c r="BG67" i="4" s="1"/>
  <c r="BF68" i="4"/>
  <c r="BG68" i="4" s="1"/>
  <c r="BG70" i="4"/>
  <c r="BE66" i="4"/>
  <c r="BE65" i="4"/>
  <c r="BH46" i="4"/>
  <c r="BH44" i="4"/>
  <c r="BG44" i="4"/>
  <c r="BH47" i="4"/>
  <c r="BG47" i="4"/>
  <c r="BH48" i="4"/>
  <c r="BG48" i="4"/>
  <c r="BG49" i="4"/>
  <c r="BH49" i="4"/>
  <c r="BH50" i="4"/>
  <c r="BG50" i="4"/>
  <c r="BE50" i="4"/>
  <c r="BE47" i="4"/>
  <c r="BE49" i="4"/>
  <c r="BE48" i="4"/>
  <c r="BF6" i="4"/>
  <c r="BD7" i="4"/>
  <c r="BD3" i="4"/>
  <c r="BE4" i="4"/>
  <c r="BD5" i="4"/>
  <c r="BF7" i="4"/>
  <c r="BE5" i="4"/>
  <c r="BD6" i="4"/>
  <c r="BF3" i="4"/>
  <c r="BE6" i="4"/>
  <c r="BE3" i="4"/>
  <c r="BD4" i="4"/>
  <c r="BD2" i="4"/>
  <c r="BF4" i="4"/>
  <c r="BE7" i="4"/>
  <c r="BF5" i="4"/>
  <c r="BE2" i="4"/>
  <c r="BF2" i="4"/>
  <c r="AJ49" i="4"/>
  <c r="AJ20" i="4"/>
  <c r="AM14" i="4"/>
  <c r="AM15" i="4"/>
  <c r="AM16" i="4"/>
  <c r="AJ38" i="4"/>
  <c r="AG3" i="3"/>
  <c r="AG4" i="3"/>
  <c r="AG5" i="3"/>
  <c r="B22" i="4"/>
  <c r="B12" i="4"/>
  <c r="AG6" i="3"/>
  <c r="F41" i="3"/>
  <c r="F40" i="3"/>
  <c r="F42" i="3"/>
  <c r="F22" i="3"/>
  <c r="F23" i="3"/>
  <c r="F24" i="3"/>
  <c r="E1" i="3"/>
  <c r="E2" i="3"/>
  <c r="D28" i="2"/>
  <c r="H19" i="2" s="1"/>
  <c r="E38" i="2"/>
  <c r="I34" i="2" s="1"/>
  <c r="D15" i="2"/>
  <c r="BH67" i="4" l="1"/>
  <c r="BH66" i="4"/>
  <c r="BG66" i="4"/>
  <c r="BH68" i="4"/>
  <c r="BH70" i="4"/>
  <c r="BH69" i="4"/>
  <c r="BG69" i="4"/>
  <c r="BH64" i="4"/>
  <c r="BG64" i="4"/>
  <c r="BF8" i="4"/>
  <c r="BB12" i="4" s="1"/>
  <c r="BB13" i="4" s="1"/>
  <c r="BG65" i="4" l="1"/>
  <c r="BH65" i="4"/>
  <c r="BG45" i="4"/>
  <c r="BH71" i="4" l="1"/>
</calcChain>
</file>

<file path=xl/sharedStrings.xml><?xml version="1.0" encoding="utf-8"?>
<sst xmlns="http://schemas.openxmlformats.org/spreadsheetml/2006/main" count="330" uniqueCount="170">
  <si>
    <t>Edad</t>
  </si>
  <si>
    <t>f</t>
  </si>
  <si>
    <t>18-22</t>
  </si>
  <si>
    <t>23-27</t>
  </si>
  <si>
    <t>28-32</t>
  </si>
  <si>
    <t>33-37</t>
  </si>
  <si>
    <t>38-42</t>
  </si>
  <si>
    <t>43-47</t>
  </si>
  <si>
    <t>48-52</t>
  </si>
  <si>
    <t>53-57</t>
  </si>
  <si>
    <t>58-62</t>
  </si>
  <si>
    <t>63-67</t>
  </si>
  <si>
    <t>68-72</t>
  </si>
  <si>
    <t>73-77</t>
  </si>
  <si>
    <t>78-82</t>
  </si>
  <si>
    <t>Total</t>
  </si>
  <si>
    <t>Puntos Medios</t>
  </si>
  <si>
    <t>f·x</t>
  </si>
  <si>
    <t>M</t>
  </si>
  <si>
    <t>Mo</t>
  </si>
  <si>
    <t>Me</t>
  </si>
  <si>
    <t>Acumulado</t>
  </si>
  <si>
    <t>Edades</t>
  </si>
  <si>
    <t>Frecuencia</t>
  </si>
  <si>
    <t>18-25</t>
  </si>
  <si>
    <t>26-33</t>
  </si>
  <si>
    <t>34-41</t>
  </si>
  <si>
    <t>42-49</t>
  </si>
  <si>
    <t>50-57</t>
  </si>
  <si>
    <t>58-65</t>
  </si>
  <si>
    <t>66-73</t>
  </si>
  <si>
    <t>74-81</t>
  </si>
  <si>
    <t xml:space="preserve">Puntos Medios </t>
  </si>
  <si>
    <t>f*x</t>
  </si>
  <si>
    <t>Acumulada</t>
  </si>
  <si>
    <t>Nivel de 
Concentración</t>
  </si>
  <si>
    <t>49.3-58.8</t>
  </si>
  <si>
    <t>X</t>
  </si>
  <si>
    <t>f*pm</t>
  </si>
  <si>
    <t>12.01 - 13.00</t>
  </si>
  <si>
    <t>F</t>
  </si>
  <si>
    <t>14.0 - 15.2</t>
  </si>
  <si>
    <t>Datos I</t>
  </si>
  <si>
    <t>D6</t>
  </si>
  <si>
    <t>P37</t>
  </si>
  <si>
    <t>Datos II</t>
  </si>
  <si>
    <t>P66</t>
  </si>
  <si>
    <t>D2</t>
  </si>
  <si>
    <t>P7</t>
  </si>
  <si>
    <t>Q1</t>
  </si>
  <si>
    <t>Q3</t>
  </si>
  <si>
    <t>Posicion</t>
  </si>
  <si>
    <t>Resultado</t>
  </si>
  <si>
    <t>Métrica</t>
  </si>
  <si>
    <t>Datos III</t>
  </si>
  <si>
    <t>Q2</t>
  </si>
  <si>
    <t>Posición</t>
  </si>
  <si>
    <t>Clase</t>
  </si>
  <si>
    <t>Acum</t>
  </si>
  <si>
    <t>0.01-0.05</t>
  </si>
  <si>
    <t>0.06-0.10</t>
  </si>
  <si>
    <t>0.11-0.15</t>
  </si>
  <si>
    <t>0.16-0.20</t>
  </si>
  <si>
    <t>0.21-0.25</t>
  </si>
  <si>
    <t>0.26-0.30</t>
  </si>
  <si>
    <t>D5</t>
  </si>
  <si>
    <t>P47</t>
  </si>
  <si>
    <t>P77</t>
  </si>
  <si>
    <t>Rango de Edades</t>
  </si>
  <si>
    <t>18-20</t>
  </si>
  <si>
    <t>21-23</t>
  </si>
  <si>
    <t>24-26</t>
  </si>
  <si>
    <t>27-29</t>
  </si>
  <si>
    <t>30-32</t>
  </si>
  <si>
    <t>33-35</t>
  </si>
  <si>
    <t>36-38</t>
  </si>
  <si>
    <t>39-41</t>
  </si>
  <si>
    <t>42-44</t>
  </si>
  <si>
    <t>D9</t>
  </si>
  <si>
    <t>P13</t>
  </si>
  <si>
    <t>01-10</t>
  </si>
  <si>
    <t>11-20</t>
  </si>
  <si>
    <t>21-30</t>
  </si>
  <si>
    <t>31-40</t>
  </si>
  <si>
    <t>41-50</t>
  </si>
  <si>
    <t>51-60</t>
  </si>
  <si>
    <t>61-70</t>
  </si>
  <si>
    <t>71-80</t>
  </si>
  <si>
    <t>81-90</t>
  </si>
  <si>
    <t>D7</t>
  </si>
  <si>
    <t>P34</t>
  </si>
  <si>
    <t>P97</t>
  </si>
  <si>
    <t>Datos</t>
  </si>
  <si>
    <t>1. Como MUESTRA</t>
  </si>
  <si>
    <t>Media:</t>
  </si>
  <si>
    <t>Varianza:</t>
  </si>
  <si>
    <t>Desv. Estándar:</t>
  </si>
  <si>
    <t>Results</t>
  </si>
  <si>
    <t>2. Como POBLACIÓN</t>
  </si>
  <si>
    <t>2. POBLACIÓN</t>
  </si>
  <si>
    <t>3. MUESTRA</t>
  </si>
  <si>
    <t>Varianza</t>
  </si>
  <si>
    <t>Desv. Estándar</t>
  </si>
  <si>
    <t>1. General</t>
  </si>
  <si>
    <t>Media</t>
  </si>
  <si>
    <t>MUESTRA</t>
  </si>
  <si>
    <t>Punto medio (x)</t>
  </si>
  <si>
    <t>0.01-0.09</t>
  </si>
  <si>
    <t>0.10-0.18</t>
  </si>
  <si>
    <t>0.19-0.27</t>
  </si>
  <si>
    <t>0.28-0.36</t>
  </si>
  <si>
    <t>0.37-0.45</t>
  </si>
  <si>
    <t>0.46-0.54</t>
  </si>
  <si>
    <t>0.55-0.63</t>
  </si>
  <si>
    <t>0.64-0.72</t>
  </si>
  <si>
    <t>0.73-0.81</t>
  </si>
  <si>
    <t>0.82-0.90</t>
  </si>
  <si>
    <t>a) Como POBLACIÓN</t>
  </si>
  <si>
    <t>x</t>
  </si>
  <si>
    <t>b) Como MUESTRA</t>
  </si>
  <si>
    <t>Como MUESTRA</t>
  </si>
  <si>
    <t>Como POBLACIÓN</t>
  </si>
  <si>
    <t>1 - b)</t>
  </si>
  <si>
    <t>2 - b)</t>
  </si>
  <si>
    <t>1 - a)</t>
  </si>
  <si>
    <t>2 - a)</t>
  </si>
  <si>
    <t>x*f</t>
  </si>
  <si>
    <t>501-510</t>
  </si>
  <si>
    <t>511-520</t>
  </si>
  <si>
    <t>Rango</t>
  </si>
  <si>
    <t>521-530</t>
  </si>
  <si>
    <t>531-540</t>
  </si>
  <si>
    <t>541-550</t>
  </si>
  <si>
    <t>551-560</t>
  </si>
  <si>
    <t>TOTAL</t>
  </si>
  <si>
    <t>Punto medio (xᵢ)</t>
  </si>
  <si>
    <t>Punto medio</t>
  </si>
  <si>
    <t>xᵢ * fᵢ</t>
  </si>
  <si>
    <t>xᵢ − 527</t>
  </si>
  <si>
    <t>(xᵢ − 527)²</t>
  </si>
  <si>
    <t>fᵢ × (xᵢ − 527)²</t>
  </si>
  <si>
    <t>Desviación estándar</t>
  </si>
  <si>
    <t>Intervalo (X)</t>
  </si>
  <si>
    <t>65 – 69</t>
  </si>
  <si>
    <t>70 – 74</t>
  </si>
  <si>
    <t>75 – 79</t>
  </si>
  <si>
    <t>80 – 84</t>
  </si>
  <si>
    <t>85 – 89</t>
  </si>
  <si>
    <t>90 – 94</t>
  </si>
  <si>
    <t>95 – 99</t>
  </si>
  <si>
    <t>xᵢ − 82.23</t>
  </si>
  <si>
    <t>(diff)²</t>
  </si>
  <si>
    <t>fᵢ × (diff)²</t>
  </si>
  <si>
    <t xml:space="preserve">X          </t>
  </si>
  <si>
    <t xml:space="preserve">1.65 - 1.69   </t>
  </si>
  <si>
    <t xml:space="preserve">1.70 - 1.74 </t>
  </si>
  <si>
    <t xml:space="preserve">1.75 - 1.79    </t>
  </si>
  <si>
    <t xml:space="preserve">1.85 - 1.89    </t>
  </si>
  <si>
    <t xml:space="preserve">1.90 - 1.94    </t>
  </si>
  <si>
    <t xml:space="preserve">1.95 - 1.99    </t>
  </si>
  <si>
    <t>1.80 - 1.84</t>
  </si>
  <si>
    <t>X                   f</t>
  </si>
  <si>
    <t>36.55 - 37.59       7</t>
  </si>
  <si>
    <t>37.60 - 38.64       12</t>
  </si>
  <si>
    <t>38.65 - 39.69       13</t>
  </si>
  <si>
    <t>39.70 - 40.74       15</t>
  </si>
  <si>
    <t>40.75 - 41.79       12</t>
  </si>
  <si>
    <t>41.80 - 42.84       10</t>
  </si>
  <si>
    <t>42.85 - 43.89       8</t>
  </si>
  <si>
    <t>xᵢ −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</si>
</sst>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2">
    <xf numFmtId="0" fontId="0" fillId="0" borderId="0" xfId="0"/>
    <xf numFmtId="164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29" xfId="0" applyBorder="1"/>
    <xf numFmtId="0" fontId="0" fillId="0" borderId="30" xfId="0" applyBorder="1"/>
    <xf numFmtId="0" fontId="0" fillId="0" borderId="9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" fontId="0" fillId="0" borderId="24" xfId="0" applyNumberFormat="1" applyBorder="1"/>
    <xf numFmtId="1" fontId="0" fillId="0" borderId="25" xfId="0" applyNumberFormat="1" applyBorder="1"/>
    <xf numFmtId="0" fontId="0" fillId="0" borderId="1" xfId="0" applyBorder="1"/>
    <xf numFmtId="1" fontId="0" fillId="0" borderId="29" xfId="0" applyNumberFormat="1" applyBorder="1"/>
    <xf numFmtId="0" fontId="1" fillId="0" borderId="20" xfId="0" applyFont="1" applyBorder="1"/>
    <xf numFmtId="0" fontId="1" fillId="0" borderId="21" xfId="0" applyFont="1" applyBorder="1"/>
    <xf numFmtId="1" fontId="0" fillId="2" borderId="28" xfId="0" applyNumberFormat="1" applyFill="1" applyBorder="1"/>
    <xf numFmtId="0" fontId="0" fillId="2" borderId="28" xfId="0" applyFill="1" applyBorder="1"/>
    <xf numFmtId="164" fontId="0" fillId="0" borderId="20" xfId="0" applyNumberFormat="1" applyBorder="1"/>
    <xf numFmtId="164" fontId="0" fillId="0" borderId="26" xfId="0" applyNumberFormat="1" applyBorder="1"/>
    <xf numFmtId="0" fontId="0" fillId="0" borderId="33" xfId="0" applyBorder="1"/>
    <xf numFmtId="0" fontId="0" fillId="0" borderId="34" xfId="0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164" fontId="0" fillId="0" borderId="27" xfId="0" applyNumberFormat="1" applyBorder="1"/>
    <xf numFmtId="2" fontId="0" fillId="0" borderId="4" xfId="0" applyNumberFormat="1" applyBorder="1"/>
    <xf numFmtId="2" fontId="0" fillId="0" borderId="6" xfId="0" applyNumberFormat="1" applyBorder="1"/>
    <xf numFmtId="2" fontId="0" fillId="0" borderId="8" xfId="0" applyNumberFormat="1" applyBorder="1"/>
    <xf numFmtId="2" fontId="0" fillId="0" borderId="40" xfId="0" applyNumberFormat="1" applyBorder="1"/>
    <xf numFmtId="0" fontId="0" fillId="0" borderId="44" xfId="0" applyBorder="1"/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3" borderId="22" xfId="0" applyFill="1" applyBorder="1"/>
    <xf numFmtId="0" fontId="0" fillId="3" borderId="2" xfId="0" applyFill="1" applyBorder="1"/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35" xfId="0" applyFill="1" applyBorder="1"/>
    <xf numFmtId="164" fontId="0" fillId="3" borderId="2" xfId="0" applyNumberFormat="1" applyFill="1" applyBorder="1"/>
    <xf numFmtId="0" fontId="0" fillId="3" borderId="2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" fontId="0" fillId="3" borderId="2" xfId="0" applyNumberFormat="1" applyFill="1" applyBorder="1"/>
    <xf numFmtId="0" fontId="0" fillId="3" borderId="43" xfId="0" applyFill="1" applyBorder="1" applyAlignment="1">
      <alignment horizontal="center" vertical="center"/>
    </xf>
    <xf numFmtId="0" fontId="0" fillId="3" borderId="23" xfId="0" applyFill="1" applyBorder="1"/>
    <xf numFmtId="0" fontId="0" fillId="3" borderId="24" xfId="0" applyFill="1" applyBorder="1"/>
    <xf numFmtId="0" fontId="0" fillId="3" borderId="25" xfId="0" applyFill="1" applyBorder="1"/>
    <xf numFmtId="0" fontId="0" fillId="4" borderId="0" xfId="0" applyFill="1"/>
    <xf numFmtId="164" fontId="0" fillId="4" borderId="19" xfId="0" applyNumberFormat="1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21" xfId="0" applyFill="1" applyBorder="1" applyAlignment="1">
      <alignment horizontal="left"/>
    </xf>
    <xf numFmtId="0" fontId="0" fillId="4" borderId="24" xfId="0" applyFill="1" applyBorder="1"/>
    <xf numFmtId="164" fontId="0" fillId="4" borderId="21" xfId="0" applyNumberFormat="1" applyFill="1" applyBorder="1"/>
    <xf numFmtId="0" fontId="0" fillId="6" borderId="47" xfId="0" applyFill="1" applyBorder="1"/>
    <xf numFmtId="0" fontId="0" fillId="6" borderId="0" xfId="0" applyFill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45" xfId="0" applyFill="1" applyBorder="1"/>
    <xf numFmtId="0" fontId="0" fillId="6" borderId="48" xfId="0" applyFill="1" applyBorder="1"/>
    <xf numFmtId="0" fontId="0" fillId="6" borderId="49" xfId="0" applyFill="1" applyBorder="1"/>
    <xf numFmtId="0" fontId="0" fillId="7" borderId="0" xfId="0" applyFill="1"/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15" xfId="0" applyFill="1" applyBorder="1"/>
    <xf numFmtId="0" fontId="0" fillId="7" borderId="49" xfId="0" applyFill="1" applyBorder="1"/>
    <xf numFmtId="0" fontId="0" fillId="7" borderId="9" xfId="0" applyFill="1" applyBorder="1"/>
    <xf numFmtId="0" fontId="0" fillId="7" borderId="10" xfId="0" applyFill="1" applyBorder="1"/>
    <xf numFmtId="0" fontId="0" fillId="7" borderId="12" xfId="0" applyFill="1" applyBorder="1"/>
    <xf numFmtId="0" fontId="0" fillId="7" borderId="11" xfId="0" applyFill="1" applyBorder="1"/>
    <xf numFmtId="0" fontId="0" fillId="6" borderId="50" xfId="0" applyFill="1" applyBorder="1"/>
    <xf numFmtId="0" fontId="0" fillId="6" borderId="15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2" xfId="0" applyFill="1" applyBorder="1"/>
    <xf numFmtId="0" fontId="0" fillId="6" borderId="11" xfId="0" applyFill="1" applyBorder="1"/>
    <xf numFmtId="0" fontId="0" fillId="0" borderId="51" xfId="0" applyBorder="1"/>
    <xf numFmtId="0" fontId="0" fillId="0" borderId="37" xfId="0" applyBorder="1"/>
    <xf numFmtId="0" fontId="0" fillId="0" borderId="46" xfId="0" applyBorder="1"/>
    <xf numFmtId="0" fontId="0" fillId="0" borderId="52" xfId="0" applyBorder="1"/>
    <xf numFmtId="0" fontId="0" fillId="0" borderId="42" xfId="0" applyBorder="1"/>
    <xf numFmtId="0" fontId="0" fillId="4" borderId="11" xfId="0" applyFill="1" applyBorder="1"/>
    <xf numFmtId="0" fontId="0" fillId="4" borderId="12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50" xfId="0" applyFill="1" applyBorder="1"/>
    <xf numFmtId="0" fontId="0" fillId="4" borderId="15" xfId="0" applyFill="1" applyBorder="1"/>
    <xf numFmtId="164" fontId="0" fillId="0" borderId="0" xfId="0" applyNumberFormat="1"/>
    <xf numFmtId="0" fontId="3" fillId="8" borderId="3" xfId="0" applyFont="1" applyFill="1" applyBorder="1"/>
    <xf numFmtId="0" fontId="3" fillId="8" borderId="5" xfId="0" applyFont="1" applyFill="1" applyBorder="1"/>
    <xf numFmtId="0" fontId="3" fillId="8" borderId="7" xfId="0" applyFont="1" applyFill="1" applyBorder="1"/>
    <xf numFmtId="0" fontId="0" fillId="10" borderId="6" xfId="0" applyFill="1" applyBorder="1"/>
    <xf numFmtId="0" fontId="0" fillId="9" borderId="8" xfId="0" applyFill="1" applyBorder="1"/>
    <xf numFmtId="0" fontId="0" fillId="9" borderId="4" xfId="0" applyFill="1" applyBorder="1"/>
    <xf numFmtId="0" fontId="2" fillId="5" borderId="22" xfId="0" applyFont="1" applyFill="1" applyBorder="1"/>
    <xf numFmtId="0" fontId="2" fillId="5" borderId="31" xfId="0" applyFont="1" applyFill="1" applyBorder="1"/>
    <xf numFmtId="0" fontId="2" fillId="5" borderId="2" xfId="0" applyFont="1" applyFill="1" applyBorder="1"/>
    <xf numFmtId="0" fontId="0" fillId="0" borderId="10" xfId="0" applyBorder="1"/>
    <xf numFmtId="0" fontId="0" fillId="0" borderId="6" xfId="0" applyBorder="1"/>
    <xf numFmtId="0" fontId="0" fillId="0" borderId="54" xfId="0" applyBorder="1"/>
    <xf numFmtId="0" fontId="0" fillId="0" borderId="8" xfId="0" applyBorder="1"/>
    <xf numFmtId="0" fontId="0" fillId="3" borderId="32" xfId="0" applyFill="1" applyBorder="1"/>
    <xf numFmtId="0" fontId="0" fillId="3" borderId="11" xfId="0" applyFill="1" applyBorder="1"/>
    <xf numFmtId="0" fontId="0" fillId="3" borderId="12" xfId="0" applyFill="1" applyBorder="1"/>
    <xf numFmtId="0" fontId="0" fillId="7" borderId="20" xfId="0" applyFill="1" applyBorder="1"/>
    <xf numFmtId="0" fontId="0" fillId="7" borderId="34" xfId="0" applyFill="1" applyBorder="1"/>
    <xf numFmtId="0" fontId="0" fillId="0" borderId="55" xfId="0" applyBorder="1"/>
    <xf numFmtId="0" fontId="0" fillId="0" borderId="56" xfId="0" applyBorder="1"/>
    <xf numFmtId="0" fontId="0" fillId="0" borderId="35" xfId="0" applyBorder="1"/>
    <xf numFmtId="0" fontId="0" fillId="9" borderId="21" xfId="0" applyFill="1" applyBorder="1"/>
    <xf numFmtId="49" fontId="0" fillId="0" borderId="24" xfId="0" applyNumberFormat="1" applyBorder="1"/>
    <xf numFmtId="49" fontId="0" fillId="0" borderId="25" xfId="0" applyNumberFormat="1" applyBorder="1"/>
    <xf numFmtId="49" fontId="0" fillId="0" borderId="29" xfId="0" applyNumberFormat="1" applyBorder="1"/>
    <xf numFmtId="0" fontId="0" fillId="3" borderId="31" xfId="0" applyFill="1" applyBorder="1"/>
    <xf numFmtId="0" fontId="0" fillId="0" borderId="36" xfId="0" applyBorder="1"/>
    <xf numFmtId="0" fontId="0" fillId="0" borderId="4" xfId="0" applyBorder="1"/>
    <xf numFmtId="0" fontId="0" fillId="0" borderId="57" xfId="0" applyBorder="1"/>
    <xf numFmtId="0" fontId="0" fillId="7" borderId="2" xfId="0" applyFill="1" applyBorder="1"/>
    <xf numFmtId="0" fontId="0" fillId="7" borderId="22" xfId="0" applyFill="1" applyBorder="1"/>
    <xf numFmtId="2" fontId="0" fillId="0" borderId="1" xfId="0" applyNumberFormat="1" applyBorder="1"/>
    <xf numFmtId="0" fontId="1" fillId="7" borderId="3" xfId="0" applyFont="1" applyFill="1" applyBorder="1" applyAlignment="1">
      <alignment horizontal="left" vertical="center" indent="1"/>
    </xf>
    <xf numFmtId="0" fontId="1" fillId="7" borderId="5" xfId="0" applyFont="1" applyFill="1" applyBorder="1" applyAlignment="1">
      <alignment horizontal="left" vertical="center" indent="1"/>
    </xf>
    <xf numFmtId="0" fontId="1" fillId="7" borderId="7" xfId="0" applyFont="1" applyFill="1" applyBorder="1" applyAlignment="1">
      <alignment horizontal="left" vertical="center" indent="1"/>
    </xf>
    <xf numFmtId="0" fontId="7" fillId="0" borderId="4" xfId="0" applyFont="1" applyBorder="1"/>
    <xf numFmtId="2" fontId="7" fillId="0" borderId="6" xfId="0" applyNumberFormat="1" applyFont="1" applyBorder="1"/>
    <xf numFmtId="2" fontId="7" fillId="0" borderId="8" xfId="0" applyNumberFormat="1" applyFont="1" applyBorder="1"/>
    <xf numFmtId="0" fontId="5" fillId="0" borderId="0" xfId="0" applyFont="1"/>
    <xf numFmtId="2" fontId="0" fillId="0" borderId="37" xfId="0" applyNumberFormat="1" applyBorder="1"/>
    <xf numFmtId="0" fontId="8" fillId="7" borderId="22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0" fillId="7" borderId="19" xfId="0" applyFill="1" applyBorder="1"/>
    <xf numFmtId="2" fontId="7" fillId="0" borderId="4" xfId="0" applyNumberFormat="1" applyFont="1" applyBorder="1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0" fillId="11" borderId="5" xfId="0" applyFill="1" applyBorder="1"/>
    <xf numFmtId="0" fontId="0" fillId="11" borderId="7" xfId="0" applyFill="1" applyBorder="1"/>
    <xf numFmtId="165" fontId="0" fillId="0" borderId="6" xfId="0" applyNumberFormat="1" applyBorder="1"/>
    <xf numFmtId="165" fontId="0" fillId="0" borderId="8" xfId="0" applyNumberFormat="1" applyBorder="1"/>
    <xf numFmtId="0" fontId="0" fillId="0" borderId="6" xfId="0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11" borderId="59" xfId="0" applyFont="1" applyFill="1" applyBorder="1" applyAlignment="1">
      <alignment horizontal="center" vertical="center" wrapText="1"/>
    </xf>
    <xf numFmtId="0" fontId="1" fillId="11" borderId="60" xfId="0" applyFont="1" applyFill="1" applyBorder="1" applyAlignment="1">
      <alignment horizontal="center" vertical="center" wrapText="1"/>
    </xf>
    <xf numFmtId="0" fontId="1" fillId="11" borderId="61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36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" fontId="0" fillId="0" borderId="1" xfId="0" applyNumberFormat="1" applyBorder="1"/>
    <xf numFmtId="1" fontId="1" fillId="0" borderId="1" xfId="0" applyNumberFormat="1" applyFont="1" applyBorder="1" applyAlignment="1">
      <alignment vertical="center" wrapText="1"/>
    </xf>
    <xf numFmtId="1" fontId="0" fillId="0" borderId="6" xfId="0" applyNumberFormat="1" applyBorder="1" applyAlignment="1">
      <alignment vertical="center" wrapText="1"/>
    </xf>
    <xf numFmtId="1" fontId="0" fillId="0" borderId="54" xfId="0" applyNumberFormat="1" applyBorder="1"/>
    <xf numFmtId="1" fontId="1" fillId="0" borderId="54" xfId="0" applyNumberFormat="1" applyFont="1" applyBorder="1" applyAlignment="1">
      <alignment vertical="center" wrapText="1"/>
    </xf>
    <xf numFmtId="1" fontId="0" fillId="0" borderId="8" xfId="0" applyNumberFormat="1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1" fillId="0" borderId="42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1" fillId="0" borderId="12" xfId="0" applyFont="1" applyBorder="1" applyAlignment="1">
      <alignment horizontal="right" vertical="center" wrapText="1"/>
    </xf>
    <xf numFmtId="1" fontId="0" fillId="0" borderId="2" xfId="0" applyNumberFormat="1" applyBorder="1"/>
    <xf numFmtId="1" fontId="0" fillId="0" borderId="4" xfId="0" applyNumberFormat="1" applyBorder="1"/>
    <xf numFmtId="164" fontId="0" fillId="0" borderId="6" xfId="0" applyNumberFormat="1" applyBorder="1"/>
    <xf numFmtId="166" fontId="0" fillId="0" borderId="1" xfId="0" applyNumberFormat="1" applyBorder="1"/>
    <xf numFmtId="0" fontId="1" fillId="0" borderId="54" xfId="0" applyFont="1" applyBorder="1" applyAlignment="1">
      <alignment vertical="center" wrapText="1"/>
    </xf>
    <xf numFmtId="2" fontId="0" fillId="0" borderId="54" xfId="0" applyNumberFormat="1" applyBorder="1"/>
    <xf numFmtId="166" fontId="0" fillId="0" borderId="54" xfId="0" applyNumberFormat="1" applyBorder="1"/>
    <xf numFmtId="0" fontId="1" fillId="0" borderId="12" xfId="0" applyFont="1" applyBorder="1" applyAlignment="1">
      <alignment vertical="center" wrapText="1"/>
    </xf>
    <xf numFmtId="2" fontId="0" fillId="0" borderId="2" xfId="0" applyNumberFormat="1" applyBorder="1"/>
    <xf numFmtId="2" fontId="0" fillId="0" borderId="57" xfId="0" applyNumberFormat="1" applyBorder="1"/>
    <xf numFmtId="164" fontId="0" fillId="0" borderId="35" xfId="0" applyNumberFormat="1" applyBorder="1"/>
    <xf numFmtId="0" fontId="0" fillId="0" borderId="15" xfId="0" applyBorder="1"/>
    <xf numFmtId="2" fontId="0" fillId="0" borderId="15" xfId="0" applyNumberFormat="1" applyBorder="1"/>
    <xf numFmtId="0" fontId="0" fillId="0" borderId="22" xfId="0" applyBorder="1"/>
    <xf numFmtId="0" fontId="0" fillId="3" borderId="22" xfId="0" applyFill="1" applyBorder="1" applyAlignment="1">
      <alignment horizontal="center" wrapText="1"/>
    </xf>
    <xf numFmtId="0" fontId="0" fillId="3" borderId="31" xfId="0" applyFill="1" applyBorder="1" applyAlignment="1">
      <alignment horizontal="center" wrapText="1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7" borderId="53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50" xfId="0" applyFont="1" applyFill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8" fillId="7" borderId="23" xfId="0" applyFont="1" applyFill="1" applyBorder="1" applyAlignment="1">
      <alignment horizontal="center"/>
    </xf>
    <xf numFmtId="0" fontId="8" fillId="7" borderId="57" xfId="0" applyFont="1" applyFill="1" applyBorder="1" applyAlignment="1">
      <alignment horizontal="center"/>
    </xf>
    <xf numFmtId="0" fontId="0" fillId="12" borderId="2" xfId="0" applyFill="1" applyBorder="1"/>
    <xf numFmtId="0" fontId="1" fillId="13" borderId="3" xfId="0" applyFont="1" applyFill="1" applyBorder="1" applyAlignment="1">
      <alignment horizontal="center" vertical="center" wrapText="1"/>
    </xf>
    <xf numFmtId="0" fontId="1" fillId="13" borderId="36" xfId="0" applyFont="1" applyFill="1" applyBorder="1" applyAlignment="1">
      <alignment horizontal="center" vertical="center" wrapText="1"/>
    </xf>
    <xf numFmtId="0" fontId="0" fillId="13" borderId="36" xfId="0" applyFill="1" applyBorder="1"/>
    <xf numFmtId="0" fontId="0" fillId="13" borderId="4" xfId="0" applyFill="1" applyBorder="1"/>
    <xf numFmtId="0" fontId="0" fillId="13" borderId="3" xfId="0" applyFill="1" applyBorder="1"/>
    <xf numFmtId="0" fontId="0" fillId="13" borderId="5" xfId="0" applyFill="1" applyBorder="1"/>
    <xf numFmtId="0" fontId="0" fillId="13" borderId="7" xfId="0" applyFill="1" applyBorder="1"/>
    <xf numFmtId="0" fontId="0" fillId="13" borderId="2" xfId="0" applyFill="1" applyBorder="1"/>
    <xf numFmtId="0" fontId="0" fillId="13" borderId="15" xfId="0" applyFill="1" applyBorder="1"/>
  </cellXfs>
  <cellStyles count="1">
    <cellStyle name="Normal" xfId="0" builtinId="0"/>
  </cellStyles>
  <dxfs count="1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11205</xdr:colOff>
      <xdr:row>0</xdr:row>
      <xdr:rowOff>0</xdr:rowOff>
    </xdr:from>
    <xdr:to>
      <xdr:col>9</xdr:col>
      <xdr:colOff>643404</xdr:colOff>
      <xdr:row>8</xdr:row>
      <xdr:rowOff>21851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5C44D1-DB1A-4B64-BC4B-6EBE1FAE4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1205" y="0"/>
          <a:ext cx="3680199" cy="1590675"/>
        </a:xfrm>
        <a:prstGeom prst="rect">
          <a:avLst/>
        </a:prstGeom>
      </xdr:spPr>
    </xdr:pic>
    <xdr:clientData/>
  </xdr:twoCellAnchor>
  <xdr:twoCellAnchor editAs="oneCell">
    <xdr:from>
      <xdr:col>20</xdr:col>
      <xdr:colOff>94278</xdr:colOff>
      <xdr:row>13</xdr:row>
      <xdr:rowOff>107793</xdr:rowOff>
    </xdr:from>
    <xdr:to>
      <xdr:col>25</xdr:col>
      <xdr:colOff>40048</xdr:colOff>
      <xdr:row>25</xdr:row>
      <xdr:rowOff>172946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4D24F0-5A4F-4423-B5D7-2DDC3A4F7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4278" y="2606705"/>
          <a:ext cx="3755770" cy="2440800"/>
        </a:xfrm>
        <a:prstGeom prst="rect">
          <a:avLst/>
        </a:prstGeom>
      </xdr:spPr>
    </xdr:pic>
    <xdr:clientData/>
  </xdr:twoCellAnchor>
  <xdr:twoCellAnchor editAs="oneCell">
    <xdr:from>
      <xdr:col>20</xdr:col>
      <xdr:colOff>193556</xdr:colOff>
      <xdr:row>30</xdr:row>
      <xdr:rowOff>185207</xdr:rowOff>
    </xdr:from>
    <xdr:to>
      <xdr:col>25</xdr:col>
      <xdr:colOff>60719</xdr:colOff>
      <xdr:row>43</xdr:row>
      <xdr:rowOff>71929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58069C7-5444-4CD7-9900-A7284AE47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3556" y="5967442"/>
          <a:ext cx="3677163" cy="2438740"/>
        </a:xfrm>
        <a:prstGeom prst="rect">
          <a:avLst/>
        </a:prstGeom>
      </xdr:spPr>
    </xdr:pic>
    <xdr:clientData/>
  </xdr:twoCellAnchor>
  <xdr:twoCellAnchor editAs="oneCell">
    <xdr:from>
      <xdr:col>20</xdr:col>
      <xdr:colOff>64737</xdr:colOff>
      <xdr:row>0</xdr:row>
      <xdr:rowOff>0</xdr:rowOff>
    </xdr:from>
    <xdr:to>
      <xdr:col>24</xdr:col>
      <xdr:colOff>674848</xdr:colOff>
      <xdr:row>9</xdr:row>
      <xdr:rowOff>136416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DAC71F9-4C61-4F82-A769-BF765D687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04737" y="0"/>
          <a:ext cx="3658111" cy="18898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23813</xdr:colOff>
      <xdr:row>0</xdr:row>
      <xdr:rowOff>0</xdr:rowOff>
    </xdr:from>
    <xdr:to>
      <xdr:col>15</xdr:col>
      <xdr:colOff>167803</xdr:colOff>
      <xdr:row>5</xdr:row>
      <xdr:rowOff>48602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202C88-3BB9-4738-A1A0-9C6759E9C2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9319"/>
        <a:stretch>
          <a:fillRect/>
        </a:stretch>
      </xdr:blipFill>
      <xdr:spPr>
        <a:xfrm>
          <a:off x="8429626" y="0"/>
          <a:ext cx="5342227" cy="1079652"/>
        </a:xfrm>
        <a:prstGeom prst="rect">
          <a:avLst/>
        </a:prstGeom>
      </xdr:spPr>
    </xdr:pic>
    <xdr:clientData/>
  </xdr:twoCellAnchor>
  <xdr:twoCellAnchor editAs="oneCell">
    <xdr:from>
      <xdr:col>10</xdr:col>
      <xdr:colOff>22081</xdr:colOff>
      <xdr:row>5</xdr:row>
      <xdr:rowOff>38100</xdr:rowOff>
    </xdr:from>
    <xdr:to>
      <xdr:col>15</xdr:col>
      <xdr:colOff>251808</xdr:colOff>
      <xdr:row>10</xdr:row>
      <xdr:rowOff>91953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406A94F-BEFF-4020-9359-DC4F369ED3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72" b="43166"/>
        <a:stretch>
          <a:fillRect/>
        </a:stretch>
      </xdr:blipFill>
      <xdr:spPr>
        <a:xfrm>
          <a:off x="8423131" y="1038225"/>
          <a:ext cx="5442252" cy="1086716"/>
        </a:xfrm>
        <a:prstGeom prst="rect">
          <a:avLst/>
        </a:prstGeom>
      </xdr:spPr>
    </xdr:pic>
    <xdr:clientData/>
  </xdr:twoCellAnchor>
  <xdr:twoCellAnchor editAs="oneCell">
    <xdr:from>
      <xdr:col>27</xdr:col>
      <xdr:colOff>117263</xdr:colOff>
      <xdr:row>0</xdr:row>
      <xdr:rowOff>0</xdr:rowOff>
    </xdr:from>
    <xdr:to>
      <xdr:col>31</xdr:col>
      <xdr:colOff>719210</xdr:colOff>
      <xdr:row>20</xdr:row>
      <xdr:rowOff>180614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C210145-301B-4905-9B1E-6EC0CFB59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9406" y="0"/>
          <a:ext cx="3649947" cy="4325989"/>
        </a:xfrm>
        <a:prstGeom prst="rect">
          <a:avLst/>
        </a:prstGeom>
      </xdr:spPr>
    </xdr:pic>
    <xdr:clientData/>
  </xdr:twoCellAnchor>
  <xdr:twoCellAnchor editAs="oneCell">
    <xdr:from>
      <xdr:col>45</xdr:col>
      <xdr:colOff>609563</xdr:colOff>
      <xdr:row>0</xdr:row>
      <xdr:rowOff>0</xdr:rowOff>
    </xdr:from>
    <xdr:to>
      <xdr:col>50</xdr:col>
      <xdr:colOff>267147</xdr:colOff>
      <xdr:row>9</xdr:row>
      <xdr:rowOff>155075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A8A88A7-5C56-4260-921F-ECA17C91C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57063" y="0"/>
          <a:ext cx="3467584" cy="1967627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71437</xdr:colOff>
      <xdr:row>41</xdr:row>
      <xdr:rowOff>179897</xdr:rowOff>
    </xdr:from>
    <xdr:to>
      <xdr:col>11</xdr:col>
      <xdr:colOff>541216</xdr:colOff>
      <xdr:row>53</xdr:row>
      <xdr:rowOff>19496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D745444-8E08-4258-AB66-605494E92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0651" y="8398611"/>
          <a:ext cx="2401994" cy="2389738"/>
        </a:xfrm>
        <a:prstGeom prst="rect">
          <a:avLst/>
        </a:prstGeom>
      </xdr:spPr>
    </xdr:pic>
    <xdr:clientData/>
  </xdr:twoCellAnchor>
  <xdr:twoCellAnchor editAs="oneCell">
    <xdr:from>
      <xdr:col>10</xdr:col>
      <xdr:colOff>44223</xdr:colOff>
      <xdr:row>38</xdr:row>
      <xdr:rowOff>110823</xdr:rowOff>
    </xdr:from>
    <xdr:to>
      <xdr:col>13</xdr:col>
      <xdr:colOff>124347</xdr:colOff>
      <xdr:row>41</xdr:row>
      <xdr:rowOff>155910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CE5B548-2426-4F0F-889D-112D74A6B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37" y="7676394"/>
          <a:ext cx="3767660" cy="743054"/>
        </a:xfrm>
        <a:prstGeom prst="rect">
          <a:avLst/>
        </a:prstGeom>
      </xdr:spPr>
    </xdr:pic>
    <xdr:clientData/>
  </xdr:twoCellAnchor>
  <xdr:twoCellAnchor editAs="oneCell">
    <xdr:from>
      <xdr:col>47</xdr:col>
      <xdr:colOff>141496</xdr:colOff>
      <xdr:row>19</xdr:row>
      <xdr:rowOff>13071</xdr:rowOff>
    </xdr:from>
    <xdr:to>
      <xdr:col>53</xdr:col>
      <xdr:colOff>28212</xdr:colOff>
      <xdr:row>22</xdr:row>
      <xdr:rowOff>67235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25653B2-1F8E-4247-85E8-F25EEF3AB4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6182"/>
        <a:stretch>
          <a:fillRect/>
        </a:stretch>
      </xdr:blipFill>
      <xdr:spPr>
        <a:xfrm>
          <a:off x="39507761" y="3946336"/>
          <a:ext cx="5097451" cy="692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13592</xdr:colOff>
      <xdr:row>8</xdr:row>
      <xdr:rowOff>85616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C5F89F-667C-4155-B4EE-8E2CD3F99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66428"/>
        <a:stretch>
          <a:fillRect/>
        </a:stretch>
      </xdr:blipFill>
      <xdr:spPr>
        <a:xfrm>
          <a:off x="0" y="0"/>
          <a:ext cx="5325218" cy="1752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126731</xdr:rowOff>
    </xdr:from>
    <xdr:to>
      <xdr:col>5</xdr:col>
      <xdr:colOff>761985</xdr:colOff>
      <xdr:row>37</xdr:row>
      <xdr:rowOff>50299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AA7B8FB-BD1E-4746-938D-BD384D8D52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556" b="20978"/>
        <a:stretch>
          <a:fillRect/>
        </a:stretch>
      </xdr:blipFill>
      <xdr:spPr>
        <a:xfrm>
          <a:off x="0" y="5055919"/>
          <a:ext cx="5328620" cy="2373581"/>
        </a:xfrm>
        <a:prstGeom prst="rect">
          <a:avLst/>
        </a:prstGeom>
      </xdr:spPr>
    </xdr:pic>
    <xdr:clientData/>
  </xdr:twoCellAnchor>
  <xdr:twoCellAnchor editAs="oneCell">
    <xdr:from>
      <xdr:col>50</xdr:col>
      <xdr:colOff>627528</xdr:colOff>
      <xdr:row>40</xdr:row>
      <xdr:rowOff>168088</xdr:rowOff>
    </xdr:from>
    <xdr:to>
      <xdr:col>52</xdr:col>
      <xdr:colOff>1177934</xdr:colOff>
      <xdr:row>50</xdr:row>
      <xdr:rowOff>156882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B3899FB-24B7-43F1-B41F-07D4E6B67A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206" t="12790" b="43857"/>
        <a:stretch>
          <a:fillRect/>
        </a:stretch>
      </xdr:blipFill>
      <xdr:spPr>
        <a:xfrm>
          <a:off x="42279793" y="8404412"/>
          <a:ext cx="2130435" cy="2173941"/>
        </a:xfrm>
        <a:prstGeom prst="rect">
          <a:avLst/>
        </a:prstGeom>
      </xdr:spPr>
    </xdr:pic>
    <xdr:clientData/>
  </xdr:twoCellAnchor>
  <xdr:twoCellAnchor editAs="oneCell">
    <xdr:from>
      <xdr:col>50</xdr:col>
      <xdr:colOff>446295</xdr:colOff>
      <xdr:row>22</xdr:row>
      <xdr:rowOff>33617</xdr:rowOff>
    </xdr:from>
    <xdr:to>
      <xdr:col>52</xdr:col>
      <xdr:colOff>1344705</xdr:colOff>
      <xdr:row>32</xdr:row>
      <xdr:rowOff>145677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B70F76B-A2ED-4821-9311-9F7E234902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97" r="51379" b="43321"/>
        <a:stretch>
          <a:fillRect/>
        </a:stretch>
      </xdr:blipFill>
      <xdr:spPr>
        <a:xfrm>
          <a:off x="42098560" y="4605617"/>
          <a:ext cx="2478439" cy="2140325"/>
        </a:xfrm>
        <a:prstGeom prst="rect">
          <a:avLst/>
        </a:prstGeom>
      </xdr:spPr>
    </xdr:pic>
    <xdr:clientData/>
  </xdr:twoCellAnchor>
  <xdr:twoCellAnchor editAs="oneCell">
    <xdr:from>
      <xdr:col>50</xdr:col>
      <xdr:colOff>11205</xdr:colOff>
      <xdr:row>60</xdr:row>
      <xdr:rowOff>179295</xdr:rowOff>
    </xdr:from>
    <xdr:to>
      <xdr:col>52</xdr:col>
      <xdr:colOff>1333499</xdr:colOff>
      <xdr:row>71</xdr:row>
      <xdr:rowOff>179295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A289036-AB4C-4588-AD40-4D57487814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" t="57574" r="43025" b="-33"/>
        <a:stretch>
          <a:fillRect/>
        </a:stretch>
      </xdr:blipFill>
      <xdr:spPr>
        <a:xfrm>
          <a:off x="41663470" y="12550589"/>
          <a:ext cx="2902323" cy="212911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A78AD8-3016-4840-BFAE-A2DB777B1C3C}" name="Tabla2" displayName="Tabla2" ref="D37:F42" totalsRowShown="0" headerRowDxfId="17" dataDxfId="16">
  <tableColumns count="3">
    <tableColumn id="1" xr3:uid="{8E93344B-6D0B-4997-A34C-7F76123AC3A3}" name="Métrica" dataDxfId="15"/>
    <tableColumn id="2" xr3:uid="{E4F25A3A-1D46-4488-98AE-9FDF014B589C}" name="Resultado" dataDxfId="14"/>
    <tableColumn id="3" xr3:uid="{CEA1D8BC-ECB4-4D1A-976F-C3829A2ABFCC}" name="Posición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2E1C8-6975-44BE-8C90-A55B1F8C23CB}" name="Tabla3" displayName="Tabla3" ref="D21:F25" totalsRowShown="0" headerRowDxfId="12" dataDxfId="10" headerRowBorderDxfId="11" tableBorderDxfId="9" totalsRowBorderDxfId="8">
  <tableColumns count="3">
    <tableColumn id="1" xr3:uid="{E95C91E1-C83A-4115-9EE7-A239876CF968}" name="Métrica" dataDxfId="7"/>
    <tableColumn id="2" xr3:uid="{1109F4B3-D9EB-46E7-8FF7-E6854FD73C1A}" name="Resultado" dataDxfId="6"/>
    <tableColumn id="3" xr3:uid="{F36BBF2D-CE88-43EF-8E0F-A7EA2A7A5878}" name="Posicion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8C8246-1473-43FE-9BCA-2AB10BE80BB7}" name="Tabla4" displayName="Tabla4" ref="AA2:AC8" totalsRowShown="0" headerRowDxfId="4" dataDxfId="3">
  <tableColumns count="3">
    <tableColumn id="1" xr3:uid="{5F08F6C5-F932-44B7-8E78-7D6F23B565A3}" name="Clase" dataDxfId="2"/>
    <tableColumn id="2" xr3:uid="{35D78191-10F9-4841-9BA5-BCCEFBB16E45}" name="f" dataDxfId="1"/>
    <tableColumn id="3" xr3:uid="{D14E9640-86F8-427E-B172-5D3A7822CA6E}" name="Acu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D919-4866-4464-AD3D-643B5CAEBF0A}">
  <sheetPr>
    <tabColor theme="9" tint="-0.249977111117893"/>
  </sheetPr>
  <dimension ref="A1:T38"/>
  <sheetViews>
    <sheetView zoomScale="25" zoomScaleNormal="25" workbookViewId="0">
      <selection activeCell="H13" sqref="H13"/>
    </sheetView>
  </sheetViews>
  <sheetFormatPr baseColWidth="10" defaultRowHeight="15"/>
  <cols>
    <col min="1" max="1" width="15.140625" customWidth="1"/>
    <col min="3" max="3" width="19" customWidth="1"/>
    <col min="4" max="4" width="16" customWidth="1"/>
    <col min="7" max="8" width="11.85546875" bestFit="1" customWidth="1"/>
    <col min="14" max="14" width="14.140625" bestFit="1" customWidth="1"/>
    <col min="19" max="19" width="12.42578125" bestFit="1" customWidth="1"/>
  </cols>
  <sheetData>
    <row r="1" spans="1:20" ht="15.75" thickBot="1">
      <c r="A1" s="55" t="s">
        <v>0</v>
      </c>
      <c r="B1" s="56" t="s">
        <v>1</v>
      </c>
      <c r="C1" s="57" t="s">
        <v>16</v>
      </c>
      <c r="D1" s="57" t="s">
        <v>17</v>
      </c>
      <c r="E1" s="58" t="s">
        <v>21</v>
      </c>
      <c r="G1" s="70" t="s">
        <v>18</v>
      </c>
      <c r="H1" s="74">
        <f>D15/B15</f>
        <v>52.399193548387096</v>
      </c>
      <c r="K1" s="218" t="s">
        <v>37</v>
      </c>
      <c r="L1" s="219"/>
      <c r="M1" s="66" t="s">
        <v>1</v>
      </c>
      <c r="N1" s="57" t="s">
        <v>16</v>
      </c>
      <c r="O1" s="67" t="s">
        <v>38</v>
      </c>
      <c r="P1" s="58" t="s">
        <v>34</v>
      </c>
      <c r="R1" s="70" t="s">
        <v>18</v>
      </c>
      <c r="S1" s="74">
        <f>O8/M8</f>
        <v>12.946176470588235</v>
      </c>
    </row>
    <row r="2" spans="1:20">
      <c r="A2" s="10" t="s">
        <v>2</v>
      </c>
      <c r="B2" s="12">
        <v>5</v>
      </c>
      <c r="C2" s="19">
        <f xml:space="preserve"> (LEFT(A2,2)+RIGHT(A2,2))/2</f>
        <v>20</v>
      </c>
      <c r="D2" s="27">
        <f>B2*C2</f>
        <v>100</v>
      </c>
      <c r="E2" s="22">
        <f>B2</f>
        <v>5</v>
      </c>
      <c r="G2" s="71" t="s">
        <v>19</v>
      </c>
      <c r="H2" s="75" t="str">
        <f>INDEX(A2:A14, MATCH(MAX(B2:B14), B2:B14, 0))</f>
        <v>68-72</v>
      </c>
      <c r="K2" s="24">
        <v>10.01</v>
      </c>
      <c r="L2" s="50">
        <v>11</v>
      </c>
      <c r="M2" s="19">
        <v>10</v>
      </c>
      <c r="N2" s="37">
        <f>(K2+L2)/2</f>
        <v>10.504999999999999</v>
      </c>
      <c r="O2" s="27">
        <f>M2*N2</f>
        <v>105.04999999999998</v>
      </c>
      <c r="P2" s="15">
        <f>M2</f>
        <v>10</v>
      </c>
      <c r="R2" s="71" t="s">
        <v>19</v>
      </c>
      <c r="S2" s="75" t="str">
        <f>_xlfn.CONCAT(INDEX(K2:K7, MATCH(MAX(M2:M7), M2:M7, 0))," - ",INDEX(L2:L7, MATCH(MAX(M2:M7), M2:M7, 0)))</f>
        <v>12.01 - 13</v>
      </c>
    </row>
    <row r="3" spans="1:20" ht="15.75" thickBot="1">
      <c r="A3" s="9" t="s">
        <v>3</v>
      </c>
      <c r="B3" s="13">
        <v>12</v>
      </c>
      <c r="C3" s="20">
        <f t="shared" ref="C3:C14" si="0" xml:space="preserve"> (LEFT(A3,2)+RIGHT(A3,2))/2</f>
        <v>25</v>
      </c>
      <c r="D3" s="20">
        <f>B3*C3</f>
        <v>300</v>
      </c>
      <c r="E3" s="16">
        <f>E2+B3</f>
        <v>17</v>
      </c>
      <c r="G3" s="72" t="s">
        <v>20</v>
      </c>
      <c r="H3" s="76" t="s">
        <v>9</v>
      </c>
      <c r="K3" s="25">
        <v>11.01</v>
      </c>
      <c r="L3" s="51">
        <v>12</v>
      </c>
      <c r="M3" s="20">
        <v>12</v>
      </c>
      <c r="N3" s="34">
        <f t="shared" ref="N3:N7" si="1">(K3+L3)/2</f>
        <v>11.504999999999999</v>
      </c>
      <c r="O3" s="20">
        <f t="shared" ref="O3:O7" si="2">M3*N3</f>
        <v>138.06</v>
      </c>
      <c r="P3" s="16">
        <f>P2+M3</f>
        <v>22</v>
      </c>
      <c r="R3" s="72" t="s">
        <v>20</v>
      </c>
      <c r="S3" s="77" t="s">
        <v>39</v>
      </c>
      <c r="T3" s="53"/>
    </row>
    <row r="4" spans="1:20">
      <c r="A4" s="9" t="s">
        <v>4</v>
      </c>
      <c r="B4" s="13">
        <v>15</v>
      </c>
      <c r="C4" s="20">
        <f t="shared" si="0"/>
        <v>30</v>
      </c>
      <c r="D4" s="20">
        <f t="shared" ref="D4:D14" si="3">B4*C4</f>
        <v>450</v>
      </c>
      <c r="E4" s="16">
        <f>E3+B4</f>
        <v>32</v>
      </c>
      <c r="K4" s="25">
        <v>12.01</v>
      </c>
      <c r="L4" s="51">
        <v>13</v>
      </c>
      <c r="M4" s="20">
        <v>13</v>
      </c>
      <c r="N4" s="34">
        <f t="shared" si="1"/>
        <v>12.504999999999999</v>
      </c>
      <c r="O4" s="20">
        <f t="shared" si="2"/>
        <v>162.565</v>
      </c>
      <c r="P4" s="16">
        <f t="shared" ref="P4:P7" si="4">P3+M4</f>
        <v>35</v>
      </c>
    </row>
    <row r="5" spans="1:20">
      <c r="A5" s="9" t="s">
        <v>5</v>
      </c>
      <c r="B5" s="13">
        <v>18</v>
      </c>
      <c r="C5" s="20">
        <f t="shared" si="0"/>
        <v>35</v>
      </c>
      <c r="D5" s="20">
        <f t="shared" si="3"/>
        <v>630</v>
      </c>
      <c r="E5" s="16">
        <f t="shared" ref="E5:E14" si="5">E4+B5</f>
        <v>50</v>
      </c>
      <c r="K5" s="25">
        <v>13.01</v>
      </c>
      <c r="L5" s="51">
        <v>14</v>
      </c>
      <c r="M5" s="20">
        <v>13</v>
      </c>
      <c r="N5" s="34">
        <f t="shared" si="1"/>
        <v>13.504999999999999</v>
      </c>
      <c r="O5" s="20">
        <f t="shared" si="2"/>
        <v>175.565</v>
      </c>
      <c r="P5" s="16">
        <f t="shared" si="4"/>
        <v>48</v>
      </c>
    </row>
    <row r="6" spans="1:20">
      <c r="A6" s="9" t="s">
        <v>6</v>
      </c>
      <c r="B6" s="13">
        <v>24</v>
      </c>
      <c r="C6" s="20">
        <f t="shared" si="0"/>
        <v>40</v>
      </c>
      <c r="D6" s="20">
        <f t="shared" si="3"/>
        <v>960</v>
      </c>
      <c r="E6" s="16">
        <f t="shared" si="5"/>
        <v>74</v>
      </c>
      <c r="K6" s="25">
        <v>14.01</v>
      </c>
      <c r="L6" s="51">
        <v>15</v>
      </c>
      <c r="M6" s="20">
        <v>11</v>
      </c>
      <c r="N6" s="34">
        <f t="shared" si="1"/>
        <v>14.504999999999999</v>
      </c>
      <c r="O6" s="20">
        <f t="shared" si="2"/>
        <v>159.55499999999998</v>
      </c>
      <c r="P6" s="16">
        <f t="shared" si="4"/>
        <v>59</v>
      </c>
    </row>
    <row r="7" spans="1:20" ht="15.75" thickBot="1">
      <c r="A7" s="9" t="s">
        <v>7</v>
      </c>
      <c r="B7" s="13">
        <v>24</v>
      </c>
      <c r="C7" s="20">
        <f t="shared" si="0"/>
        <v>45</v>
      </c>
      <c r="D7" s="20">
        <f t="shared" si="3"/>
        <v>1080</v>
      </c>
      <c r="E7" s="16">
        <f t="shared" si="5"/>
        <v>98</v>
      </c>
      <c r="K7" s="26">
        <v>15.01</v>
      </c>
      <c r="L7" s="52">
        <v>16</v>
      </c>
      <c r="M7" s="21">
        <v>9</v>
      </c>
      <c r="N7" s="35">
        <f t="shared" si="1"/>
        <v>15.504999999999999</v>
      </c>
      <c r="O7" s="28">
        <f t="shared" si="2"/>
        <v>139.54499999999999</v>
      </c>
      <c r="P7" s="17">
        <f t="shared" si="4"/>
        <v>68</v>
      </c>
    </row>
    <row r="8" spans="1:20" ht="15.75" thickBot="1">
      <c r="A8" s="9" t="s">
        <v>8</v>
      </c>
      <c r="B8" s="13">
        <v>22</v>
      </c>
      <c r="C8" s="20">
        <f t="shared" si="0"/>
        <v>50</v>
      </c>
      <c r="D8" s="20">
        <f t="shared" si="3"/>
        <v>1100</v>
      </c>
      <c r="E8" s="16">
        <f t="shared" si="5"/>
        <v>120</v>
      </c>
      <c r="K8" s="220" t="s">
        <v>15</v>
      </c>
      <c r="L8" s="221"/>
      <c r="M8" s="58">
        <f>SUM(M2:M7)</f>
        <v>68</v>
      </c>
      <c r="N8" s="40">
        <f>M8/2</f>
        <v>34</v>
      </c>
      <c r="O8" s="68">
        <f>SUM(O2:O7)</f>
        <v>880.33999999999992</v>
      </c>
    </row>
    <row r="9" spans="1:20">
      <c r="A9" s="9" t="s">
        <v>9</v>
      </c>
      <c r="B9" s="13">
        <v>20</v>
      </c>
      <c r="C9" s="20">
        <f t="shared" si="0"/>
        <v>55</v>
      </c>
      <c r="D9" s="20">
        <f t="shared" si="3"/>
        <v>1100</v>
      </c>
      <c r="E9" s="16">
        <f t="shared" si="5"/>
        <v>140</v>
      </c>
    </row>
    <row r="10" spans="1:20">
      <c r="A10" s="9" t="s">
        <v>10</v>
      </c>
      <c r="B10" s="13">
        <v>27</v>
      </c>
      <c r="C10" s="20">
        <f t="shared" si="0"/>
        <v>60</v>
      </c>
      <c r="D10" s="20">
        <f>B10*C10</f>
        <v>1620</v>
      </c>
      <c r="E10" s="16">
        <f t="shared" si="5"/>
        <v>167</v>
      </c>
    </row>
    <row r="11" spans="1:20" ht="15.75" thickBot="1">
      <c r="A11" s="9" t="s">
        <v>11</v>
      </c>
      <c r="B11" s="13">
        <v>28</v>
      </c>
      <c r="C11" s="20">
        <f>(LEFT(A11,2)+RIGHT(A11,2))/2</f>
        <v>65</v>
      </c>
      <c r="D11" s="20">
        <f t="shared" si="3"/>
        <v>1820</v>
      </c>
      <c r="E11" s="16">
        <f t="shared" si="5"/>
        <v>195</v>
      </c>
    </row>
    <row r="12" spans="1:20" ht="15.75" thickBot="1">
      <c r="A12" s="9" t="s">
        <v>12</v>
      </c>
      <c r="B12" s="13">
        <v>34</v>
      </c>
      <c r="C12" s="20">
        <f t="shared" si="0"/>
        <v>70</v>
      </c>
      <c r="D12" s="20">
        <f>B12*C12</f>
        <v>2380</v>
      </c>
      <c r="E12" s="16">
        <f t="shared" si="5"/>
        <v>229</v>
      </c>
      <c r="K12" s="224" t="s">
        <v>37</v>
      </c>
      <c r="L12" s="225"/>
      <c r="M12" s="69" t="s">
        <v>40</v>
      </c>
      <c r="N12" s="57" t="s">
        <v>16</v>
      </c>
      <c r="O12" s="57" t="s">
        <v>38</v>
      </c>
      <c r="P12" s="58" t="s">
        <v>34</v>
      </c>
      <c r="R12" s="70" t="s">
        <v>18</v>
      </c>
      <c r="S12" s="74">
        <f>O21/M21</f>
        <v>14.925000000000001</v>
      </c>
    </row>
    <row r="13" spans="1:20">
      <c r="A13" s="9" t="s">
        <v>13</v>
      </c>
      <c r="B13" s="13">
        <v>13</v>
      </c>
      <c r="C13" s="20">
        <f>(LEFT(A13,2)+RIGHT(A13,2))/2</f>
        <v>75</v>
      </c>
      <c r="D13" s="20">
        <f>B13*C13</f>
        <v>975</v>
      </c>
      <c r="E13" s="16">
        <f t="shared" si="5"/>
        <v>242</v>
      </c>
      <c r="K13" s="27">
        <v>10.1</v>
      </c>
      <c r="L13" s="15">
        <v>11.3</v>
      </c>
      <c r="M13" s="44">
        <v>2</v>
      </c>
      <c r="N13" s="37">
        <f>(K13+L13)/2</f>
        <v>10.7</v>
      </c>
      <c r="O13" s="27">
        <f>M13*N13</f>
        <v>21.4</v>
      </c>
      <c r="P13" s="22">
        <f>M13</f>
        <v>2</v>
      </c>
      <c r="R13" s="71" t="s">
        <v>19</v>
      </c>
      <c r="S13" s="75" t="str">
        <f>_xlfn.CONCAT(INDEX(K13:K20, MATCH(MAX(M13:M20), M13:M20, 0))," - ",INDEX(L13:L20, MATCH(MAX(M13:M20), M13:M20, 0)))</f>
        <v>11.4 - 12.6</v>
      </c>
    </row>
    <row r="14" spans="1:20" ht="15.75" thickBot="1">
      <c r="A14" s="11" t="s">
        <v>14</v>
      </c>
      <c r="B14" s="14">
        <v>6</v>
      </c>
      <c r="C14" s="21">
        <f t="shared" si="0"/>
        <v>80</v>
      </c>
      <c r="D14" s="28">
        <f t="shared" si="3"/>
        <v>480</v>
      </c>
      <c r="E14" s="17">
        <f t="shared" si="5"/>
        <v>248</v>
      </c>
      <c r="K14" s="20">
        <v>11.4</v>
      </c>
      <c r="L14" s="16">
        <v>12.6</v>
      </c>
      <c r="M14" s="45">
        <v>8</v>
      </c>
      <c r="N14" s="34">
        <f t="shared" ref="N14:N20" si="6">(K14+L14)/2</f>
        <v>12</v>
      </c>
      <c r="O14" s="20">
        <f t="shared" ref="O14:O20" si="7">M14*N14</f>
        <v>96</v>
      </c>
      <c r="P14" s="16">
        <f>P13+M14</f>
        <v>10</v>
      </c>
      <c r="R14" s="72" t="s">
        <v>20</v>
      </c>
      <c r="S14" s="78" t="s">
        <v>41</v>
      </c>
    </row>
    <row r="15" spans="1:20" ht="15.75" thickBot="1">
      <c r="A15" s="59" t="s">
        <v>15</v>
      </c>
      <c r="B15" s="60">
        <v>248</v>
      </c>
      <c r="C15" s="41">
        <f>B15/2</f>
        <v>124</v>
      </c>
      <c r="D15" s="58">
        <f>SUM(D2:D14)</f>
        <v>12995</v>
      </c>
      <c r="K15" s="20">
        <v>12.7</v>
      </c>
      <c r="L15" s="16">
        <v>13.9</v>
      </c>
      <c r="M15" s="45">
        <v>7</v>
      </c>
      <c r="N15" s="34">
        <f t="shared" si="6"/>
        <v>13.3</v>
      </c>
      <c r="O15" s="20">
        <f t="shared" si="7"/>
        <v>93.100000000000009</v>
      </c>
      <c r="P15" s="16">
        <f t="shared" ref="P15:P20" si="8">P14+M15</f>
        <v>17</v>
      </c>
    </row>
    <row r="16" spans="1:20">
      <c r="K16" s="47">
        <v>14</v>
      </c>
      <c r="L16" s="16">
        <v>15.2</v>
      </c>
      <c r="M16" s="45">
        <v>6</v>
      </c>
      <c r="N16" s="34">
        <f t="shared" si="6"/>
        <v>14.6</v>
      </c>
      <c r="O16" s="20">
        <f t="shared" si="7"/>
        <v>87.6</v>
      </c>
      <c r="P16" s="16">
        <f t="shared" si="8"/>
        <v>23</v>
      </c>
    </row>
    <row r="17" spans="1:16">
      <c r="K17" s="20">
        <v>15.3</v>
      </c>
      <c r="L17" s="16">
        <v>16.5</v>
      </c>
      <c r="M17" s="45">
        <v>5</v>
      </c>
      <c r="N17" s="34">
        <f t="shared" si="6"/>
        <v>15.9</v>
      </c>
      <c r="O17" s="20">
        <f t="shared" si="7"/>
        <v>79.5</v>
      </c>
      <c r="P17" s="16">
        <f t="shared" si="8"/>
        <v>28</v>
      </c>
    </row>
    <row r="18" spans="1:16" ht="15.75" thickBot="1">
      <c r="K18" s="20">
        <v>16.600000000000001</v>
      </c>
      <c r="L18" s="16">
        <v>17.8</v>
      </c>
      <c r="M18" s="45">
        <v>5</v>
      </c>
      <c r="N18" s="34">
        <f t="shared" si="6"/>
        <v>17.200000000000003</v>
      </c>
      <c r="O18" s="20">
        <f t="shared" si="7"/>
        <v>86.000000000000014</v>
      </c>
      <c r="P18" s="16">
        <f t="shared" si="8"/>
        <v>33</v>
      </c>
    </row>
    <row r="19" spans="1:16" ht="15.75" thickBot="1">
      <c r="A19" s="57" t="s">
        <v>22</v>
      </c>
      <c r="B19" s="57" t="s">
        <v>23</v>
      </c>
      <c r="C19" s="57" t="s">
        <v>32</v>
      </c>
      <c r="D19" s="57" t="s">
        <v>33</v>
      </c>
      <c r="E19" s="58" t="s">
        <v>34</v>
      </c>
      <c r="G19" s="70" t="s">
        <v>18</v>
      </c>
      <c r="H19" s="74">
        <f>D28/B28</f>
        <v>51.5</v>
      </c>
      <c r="K19" s="20">
        <v>17.899999999999999</v>
      </c>
      <c r="L19" s="16">
        <v>19.100000000000001</v>
      </c>
      <c r="M19" s="45">
        <v>4</v>
      </c>
      <c r="N19" s="34">
        <f t="shared" si="6"/>
        <v>18.5</v>
      </c>
      <c r="O19" s="20">
        <f t="shared" si="7"/>
        <v>74</v>
      </c>
      <c r="P19" s="23">
        <f t="shared" si="8"/>
        <v>37</v>
      </c>
    </row>
    <row r="20" spans="1:16" ht="15.75" thickBot="1">
      <c r="A20" s="29" t="s">
        <v>24</v>
      </c>
      <c r="B20" s="31">
        <v>12</v>
      </c>
      <c r="C20" s="37">
        <f>(LEFT(A20,2)+RIGHT(A20,2))/2</f>
        <v>21.5</v>
      </c>
      <c r="D20" s="27">
        <f>B20*C20</f>
        <v>258</v>
      </c>
      <c r="E20" s="22">
        <f>B20</f>
        <v>12</v>
      </c>
      <c r="G20" s="71" t="s">
        <v>19</v>
      </c>
      <c r="H20" s="75" t="str">
        <f>INDEX(A20:A27, MATCH(MAX(B20:B27), B20:B27, 0))</f>
        <v>58-65</v>
      </c>
      <c r="K20" s="28">
        <v>19.2</v>
      </c>
      <c r="L20" s="17">
        <v>20.399999999999999</v>
      </c>
      <c r="M20" s="54">
        <v>3</v>
      </c>
      <c r="N20" s="35">
        <f t="shared" si="6"/>
        <v>19.799999999999997</v>
      </c>
      <c r="O20" s="28">
        <f t="shared" si="7"/>
        <v>59.399999999999991</v>
      </c>
      <c r="P20" s="18">
        <f t="shared" si="8"/>
        <v>40</v>
      </c>
    </row>
    <row r="21" spans="1:16" ht="15.75" thickBot="1">
      <c r="A21" s="25" t="s">
        <v>25</v>
      </c>
      <c r="B21" s="32">
        <v>15</v>
      </c>
      <c r="C21" s="34">
        <f t="shared" ref="C21:C27" si="9">(LEFT(A21,2)+RIGHT(A21,2))/2</f>
        <v>29.5</v>
      </c>
      <c r="D21" s="20">
        <f t="shared" ref="D21:D27" si="10">B21*C21</f>
        <v>442.5</v>
      </c>
      <c r="E21" s="38">
        <f>E20+B21</f>
        <v>27</v>
      </c>
      <c r="G21" s="72" t="s">
        <v>20</v>
      </c>
      <c r="H21" s="76" t="s">
        <v>28</v>
      </c>
      <c r="I21" s="3"/>
      <c r="K21" s="218" t="s">
        <v>15</v>
      </c>
      <c r="L21" s="219"/>
      <c r="M21" s="58">
        <f>SUM(M13:M20)</f>
        <v>40</v>
      </c>
      <c r="N21" s="40">
        <f>M21/2</f>
        <v>20</v>
      </c>
      <c r="O21" s="58">
        <f>SUM(O13:O20)</f>
        <v>597</v>
      </c>
    </row>
    <row r="22" spans="1:16">
      <c r="A22" s="25" t="s">
        <v>26</v>
      </c>
      <c r="B22" s="32">
        <v>22</v>
      </c>
      <c r="C22" s="34">
        <f t="shared" si="9"/>
        <v>37.5</v>
      </c>
      <c r="D22" s="20">
        <f t="shared" si="10"/>
        <v>825</v>
      </c>
      <c r="E22" s="38">
        <f t="shared" ref="E22:E27" si="11">E21+B22</f>
        <v>49</v>
      </c>
      <c r="H22" s="3"/>
      <c r="I22" s="3"/>
    </row>
    <row r="23" spans="1:16">
      <c r="A23" s="25" t="s">
        <v>27</v>
      </c>
      <c r="B23" s="32">
        <v>29</v>
      </c>
      <c r="C23" s="34">
        <f t="shared" si="9"/>
        <v>45.5</v>
      </c>
      <c r="D23" s="20">
        <f t="shared" si="10"/>
        <v>1319.5</v>
      </c>
      <c r="E23" s="38">
        <f t="shared" si="11"/>
        <v>78</v>
      </c>
      <c r="G23" s="4"/>
      <c r="H23" s="5"/>
    </row>
    <row r="24" spans="1:16">
      <c r="A24" s="25" t="s">
        <v>28</v>
      </c>
      <c r="B24" s="32">
        <v>35</v>
      </c>
      <c r="C24" s="34">
        <f t="shared" si="9"/>
        <v>53.5</v>
      </c>
      <c r="D24" s="20">
        <f t="shared" si="10"/>
        <v>1872.5</v>
      </c>
      <c r="E24" s="38">
        <f t="shared" si="11"/>
        <v>113</v>
      </c>
    </row>
    <row r="25" spans="1:16">
      <c r="A25" s="25" t="s">
        <v>29</v>
      </c>
      <c r="B25" s="32">
        <v>40</v>
      </c>
      <c r="C25" s="34">
        <f t="shared" si="9"/>
        <v>61.5</v>
      </c>
      <c r="D25" s="20">
        <f t="shared" si="10"/>
        <v>2460</v>
      </c>
      <c r="E25" s="38">
        <f t="shared" si="11"/>
        <v>153</v>
      </c>
      <c r="F25" s="1"/>
      <c r="G25" s="2"/>
    </row>
    <row r="26" spans="1:16">
      <c r="A26" s="25" t="s">
        <v>30</v>
      </c>
      <c r="B26" s="32">
        <v>26</v>
      </c>
      <c r="C26" s="34">
        <f t="shared" si="9"/>
        <v>69.5</v>
      </c>
      <c r="D26" s="20">
        <f t="shared" si="10"/>
        <v>1807</v>
      </c>
      <c r="E26" s="38">
        <f t="shared" si="11"/>
        <v>179</v>
      </c>
      <c r="F26" s="1"/>
      <c r="G26" s="2"/>
    </row>
    <row r="27" spans="1:16" ht="15.75" thickBot="1">
      <c r="A27" s="30" t="s">
        <v>31</v>
      </c>
      <c r="B27" s="33">
        <v>9</v>
      </c>
      <c r="C27" s="35">
        <f t="shared" si="9"/>
        <v>77.5</v>
      </c>
      <c r="D27" s="21">
        <f t="shared" si="10"/>
        <v>697.5</v>
      </c>
      <c r="E27" s="39">
        <f t="shared" si="11"/>
        <v>188</v>
      </c>
    </row>
    <row r="28" spans="1:16" ht="15.75" thickBot="1">
      <c r="A28" s="57" t="s">
        <v>15</v>
      </c>
      <c r="B28" s="58">
        <f>SUM(B20:B27)</f>
        <v>188</v>
      </c>
      <c r="C28" s="40">
        <f>B28/2</f>
        <v>94</v>
      </c>
      <c r="D28" s="58">
        <f>SUM(D20:D27)</f>
        <v>9682</v>
      </c>
    </row>
    <row r="31" spans="1:16" ht="15.75" thickBot="1"/>
    <row r="32" spans="1:16" ht="30.75" customHeight="1" thickBot="1">
      <c r="A32" s="216" t="s">
        <v>35</v>
      </c>
      <c r="B32" s="217"/>
      <c r="C32" s="61" t="s">
        <v>23</v>
      </c>
      <c r="D32" s="62" t="s">
        <v>16</v>
      </c>
      <c r="E32" s="63" t="s">
        <v>33</v>
      </c>
      <c r="F32" s="63" t="s">
        <v>34</v>
      </c>
    </row>
    <row r="33" spans="1:9" ht="15.75" thickBot="1">
      <c r="A33" s="27">
        <v>20.5</v>
      </c>
      <c r="B33" s="43">
        <v>30</v>
      </c>
      <c r="C33" s="44">
        <v>5</v>
      </c>
      <c r="D33" s="37">
        <f>(A33+B33)/2</f>
        <v>25.25</v>
      </c>
      <c r="E33" s="46">
        <f>C33*D33</f>
        <v>126.25</v>
      </c>
      <c r="F33" s="15">
        <f>C33</f>
        <v>5</v>
      </c>
    </row>
    <row r="34" spans="1:9">
      <c r="A34" s="20">
        <v>30.1</v>
      </c>
      <c r="B34" s="42">
        <v>39.6</v>
      </c>
      <c r="C34" s="45">
        <v>8</v>
      </c>
      <c r="D34" s="34">
        <f t="shared" ref="D34:D37" si="12">(A34+B34)/2</f>
        <v>34.85</v>
      </c>
      <c r="E34" s="47">
        <f t="shared" ref="E34:E37" si="13">C34*D34</f>
        <v>278.8</v>
      </c>
      <c r="F34" s="16">
        <f>F33+C34</f>
        <v>13</v>
      </c>
      <c r="H34" s="70" t="s">
        <v>18</v>
      </c>
      <c r="I34" s="74">
        <f>E38/C38</f>
        <v>44.696153846153848</v>
      </c>
    </row>
    <row r="35" spans="1:9">
      <c r="A35" s="20">
        <v>39.700000000000003</v>
      </c>
      <c r="B35" s="42">
        <v>49.2</v>
      </c>
      <c r="C35" s="45">
        <v>13</v>
      </c>
      <c r="D35" s="34">
        <f t="shared" si="12"/>
        <v>44.45</v>
      </c>
      <c r="E35" s="47">
        <f t="shared" si="13"/>
        <v>577.85</v>
      </c>
      <c r="F35" s="16">
        <f t="shared" ref="F35:F37" si="14">F34+C35</f>
        <v>26</v>
      </c>
      <c r="H35" s="71" t="s">
        <v>19</v>
      </c>
      <c r="I35" s="75" t="str">
        <f>_xlfn.CONCAT(INDEX(A33:A37, MATCH(MAX(C33:C37), C33:C37, 0))," - ",INDEX(B33:B37, MATCH(MAX(C33:C37), C33:C37, 0)))</f>
        <v>39.7 - 49.2</v>
      </c>
    </row>
    <row r="36" spans="1:9" ht="15.75" thickBot="1">
      <c r="A36" s="20">
        <v>49.3</v>
      </c>
      <c r="B36" s="42">
        <v>58.8</v>
      </c>
      <c r="C36" s="45">
        <v>7</v>
      </c>
      <c r="D36" s="34">
        <f t="shared" si="12"/>
        <v>54.05</v>
      </c>
      <c r="E36" s="47">
        <f t="shared" si="13"/>
        <v>378.34999999999997</v>
      </c>
      <c r="F36" s="16">
        <f t="shared" si="14"/>
        <v>33</v>
      </c>
      <c r="H36" s="72" t="s">
        <v>20</v>
      </c>
      <c r="I36" s="76" t="s">
        <v>36</v>
      </c>
    </row>
    <row r="37" spans="1:9" ht="15.75" thickBot="1">
      <c r="A37" s="28">
        <v>58.9</v>
      </c>
      <c r="B37" s="49">
        <v>68.400000000000006</v>
      </c>
      <c r="C37" s="45">
        <v>6</v>
      </c>
      <c r="D37" s="35">
        <f t="shared" si="12"/>
        <v>63.650000000000006</v>
      </c>
      <c r="E37" s="48">
        <f t="shared" si="13"/>
        <v>381.90000000000003</v>
      </c>
      <c r="F37" s="17">
        <f t="shared" si="14"/>
        <v>39</v>
      </c>
    </row>
    <row r="38" spans="1:9" ht="15.75" thickBot="1">
      <c r="A38" s="222" t="s">
        <v>15</v>
      </c>
      <c r="B38" s="223"/>
      <c r="C38" s="64">
        <f>SUM(C33:C37)</f>
        <v>39</v>
      </c>
      <c r="D38" s="40">
        <f>C38/2</f>
        <v>19.5</v>
      </c>
      <c r="E38" s="65">
        <f>SUM(E33:E37)</f>
        <v>1743.15</v>
      </c>
    </row>
  </sheetData>
  <sortState xmlns:xlrd2="http://schemas.microsoft.com/office/spreadsheetml/2017/richdata2" ref="D22:D26">
    <sortCondition ref="D22:D26"/>
  </sortState>
  <mergeCells count="6">
    <mergeCell ref="A32:B32"/>
    <mergeCell ref="K1:L1"/>
    <mergeCell ref="K8:L8"/>
    <mergeCell ref="A38:B38"/>
    <mergeCell ref="K12:L12"/>
    <mergeCell ref="K21:L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7926-D1DF-4D1C-A014-6DFB580924E7}">
  <sheetPr>
    <tabColor theme="8" tint="-0.499984740745262"/>
  </sheetPr>
  <dimension ref="A1:AG48"/>
  <sheetViews>
    <sheetView zoomScale="25" zoomScaleNormal="25" workbookViewId="0">
      <selection activeCell="AA15" sqref="AA15"/>
    </sheetView>
  </sheetViews>
  <sheetFormatPr baseColWidth="10" defaultRowHeight="15"/>
  <cols>
    <col min="27" max="27" width="17.140625" bestFit="1" customWidth="1"/>
    <col min="33" max="33" width="11.85546875" bestFit="1" customWidth="1"/>
  </cols>
  <sheetData>
    <row r="1" spans="1:33" ht="15.75" thickBot="1">
      <c r="A1" s="104" t="s">
        <v>56</v>
      </c>
      <c r="B1" s="103" t="s">
        <v>42</v>
      </c>
      <c r="C1" s="79"/>
      <c r="D1" s="121" t="s">
        <v>50</v>
      </c>
      <c r="E1" s="126">
        <f>0.75*B18</f>
        <v>12</v>
      </c>
    </row>
    <row r="2" spans="1:33" ht="15.75" thickBot="1">
      <c r="A2" s="101">
        <v>1</v>
      </c>
      <c r="B2" s="102">
        <v>4</v>
      </c>
      <c r="C2" s="80"/>
      <c r="D2" s="122" t="s">
        <v>43</v>
      </c>
      <c r="E2" s="124">
        <f>0.6*B18</f>
        <v>9.6</v>
      </c>
      <c r="AA2" s="6" t="s">
        <v>57</v>
      </c>
      <c r="AB2" s="6" t="s">
        <v>1</v>
      </c>
      <c r="AC2" s="6" t="s">
        <v>58</v>
      </c>
      <c r="AE2" s="127" t="s">
        <v>53</v>
      </c>
      <c r="AF2" s="129" t="s">
        <v>52</v>
      </c>
      <c r="AG2" s="128" t="s">
        <v>51</v>
      </c>
    </row>
    <row r="3" spans="1:33" ht="15.75" thickBot="1">
      <c r="A3" s="81">
        <v>2</v>
      </c>
      <c r="B3" s="82">
        <v>5</v>
      </c>
      <c r="C3" s="80"/>
      <c r="D3" s="123" t="s">
        <v>44</v>
      </c>
      <c r="E3" s="125">
        <f>0.37*B18</f>
        <v>5.92</v>
      </c>
      <c r="AA3" s="7" t="s">
        <v>59</v>
      </c>
      <c r="AB3" s="7">
        <v>25</v>
      </c>
      <c r="AC3" s="7">
        <f>Tabla4[[#This Row],[f]]</f>
        <v>25</v>
      </c>
      <c r="AE3" s="29" t="s">
        <v>65</v>
      </c>
      <c r="AF3" s="106" t="s">
        <v>61</v>
      </c>
      <c r="AG3" s="130">
        <f>0.5*AC8</f>
        <v>56</v>
      </c>
    </row>
    <row r="4" spans="1:33">
      <c r="A4" s="81">
        <v>3</v>
      </c>
      <c r="B4" s="82">
        <v>5</v>
      </c>
      <c r="C4" s="80"/>
      <c r="D4" s="80"/>
      <c r="E4" s="85"/>
      <c r="AA4" s="7" t="s">
        <v>60</v>
      </c>
      <c r="AB4" s="7">
        <v>18</v>
      </c>
      <c r="AC4" s="7">
        <f>AC3+Tabla4[[#This Row],[f]]</f>
        <v>43</v>
      </c>
      <c r="AE4" s="25" t="s">
        <v>50</v>
      </c>
      <c r="AF4" s="36" t="s">
        <v>63</v>
      </c>
      <c r="AG4" s="131">
        <f>0.75*AC$8</f>
        <v>84</v>
      </c>
    </row>
    <row r="5" spans="1:33">
      <c r="A5" s="81">
        <v>4</v>
      </c>
      <c r="B5" s="82">
        <v>5</v>
      </c>
      <c r="C5" s="80"/>
      <c r="D5" s="80"/>
      <c r="E5" s="85"/>
      <c r="AA5" s="7" t="s">
        <v>61</v>
      </c>
      <c r="AB5" s="7">
        <v>23</v>
      </c>
      <c r="AC5" s="7">
        <f>AC4+Tabla4[[#This Row],[f]]</f>
        <v>66</v>
      </c>
      <c r="AE5" s="25" t="s">
        <v>66</v>
      </c>
      <c r="AF5" s="36" t="s">
        <v>61</v>
      </c>
      <c r="AG5" s="131">
        <f>0.47*AC$8</f>
        <v>52.64</v>
      </c>
    </row>
    <row r="6" spans="1:33" ht="15.75" thickBot="1">
      <c r="A6" s="81">
        <v>5</v>
      </c>
      <c r="B6" s="82">
        <v>6</v>
      </c>
      <c r="C6" s="80"/>
      <c r="D6" s="80"/>
      <c r="E6" s="85"/>
      <c r="AA6" s="7" t="s">
        <v>62</v>
      </c>
      <c r="AB6" s="7">
        <v>16</v>
      </c>
      <c r="AC6" s="7">
        <f>AC5+Tabla4[[#This Row],[f]]</f>
        <v>82</v>
      </c>
      <c r="AE6" s="26" t="s">
        <v>67</v>
      </c>
      <c r="AF6" s="132" t="s">
        <v>63</v>
      </c>
      <c r="AG6" s="133">
        <f>0.77*AC$8</f>
        <v>86.240000000000009</v>
      </c>
    </row>
    <row r="7" spans="1:33">
      <c r="A7" s="81">
        <v>6</v>
      </c>
      <c r="B7" s="82">
        <v>7</v>
      </c>
      <c r="C7" s="80"/>
      <c r="D7" s="80"/>
      <c r="E7" s="85"/>
      <c r="AA7" s="7" t="s">
        <v>63</v>
      </c>
      <c r="AB7" s="7">
        <v>17</v>
      </c>
      <c r="AC7" s="7">
        <f>AC6+Tabla4[[#This Row],[f]]</f>
        <v>99</v>
      </c>
    </row>
    <row r="8" spans="1:33">
      <c r="A8" s="81">
        <v>7</v>
      </c>
      <c r="B8" s="82">
        <v>7</v>
      </c>
      <c r="C8" s="80"/>
      <c r="D8" s="80"/>
      <c r="E8" s="85"/>
      <c r="AA8" s="7" t="s">
        <v>64</v>
      </c>
      <c r="AB8" s="7">
        <v>13</v>
      </c>
      <c r="AC8" s="7">
        <f>AC7+Tabla4[[#This Row],[f]]</f>
        <v>112</v>
      </c>
    </row>
    <row r="9" spans="1:33">
      <c r="A9" s="81">
        <v>8</v>
      </c>
      <c r="B9" s="82">
        <v>8</v>
      </c>
      <c r="C9" s="80"/>
      <c r="D9" s="80"/>
      <c r="E9" s="85"/>
      <c r="AA9" s="7"/>
      <c r="AB9" s="7"/>
      <c r="AC9" s="7"/>
    </row>
    <row r="10" spans="1:33">
      <c r="A10" s="81">
        <v>9</v>
      </c>
      <c r="B10" s="82">
        <v>9</v>
      </c>
      <c r="C10" s="80"/>
      <c r="D10" s="80"/>
      <c r="E10" s="85"/>
    </row>
    <row r="11" spans="1:33">
      <c r="A11" s="81">
        <v>10</v>
      </c>
      <c r="B11" s="82">
        <v>10</v>
      </c>
      <c r="C11" s="80"/>
      <c r="D11" s="80"/>
      <c r="E11" s="85"/>
    </row>
    <row r="12" spans="1:33">
      <c r="A12" s="81">
        <v>11</v>
      </c>
      <c r="B12" s="82">
        <v>10</v>
      </c>
      <c r="C12" s="80"/>
      <c r="D12" s="80"/>
      <c r="E12" s="85"/>
    </row>
    <row r="13" spans="1:33">
      <c r="A13" s="81">
        <v>12</v>
      </c>
      <c r="B13" s="82">
        <v>10</v>
      </c>
      <c r="C13" s="80"/>
      <c r="D13" s="80"/>
      <c r="E13" s="85"/>
    </row>
    <row r="14" spans="1:33" ht="15.75" thickBot="1">
      <c r="A14" s="81">
        <v>13</v>
      </c>
      <c r="B14" s="82">
        <v>10</v>
      </c>
      <c r="C14" s="80"/>
      <c r="D14" s="80"/>
      <c r="E14" s="85"/>
    </row>
    <row r="15" spans="1:33" ht="15.75" thickBot="1">
      <c r="A15" s="81">
        <v>14</v>
      </c>
      <c r="B15" s="82">
        <v>11</v>
      </c>
      <c r="C15" s="80"/>
      <c r="D15" s="80"/>
      <c r="E15" s="85"/>
      <c r="AA15" s="58" t="s">
        <v>68</v>
      </c>
      <c r="AB15" s="134" t="s">
        <v>23</v>
      </c>
      <c r="AC15" s="58" t="s">
        <v>58</v>
      </c>
      <c r="AE15" s="127" t="s">
        <v>53</v>
      </c>
      <c r="AF15" s="129" t="s">
        <v>52</v>
      </c>
      <c r="AG15" s="128" t="s">
        <v>51</v>
      </c>
    </row>
    <row r="16" spans="1:33">
      <c r="A16" s="81">
        <v>15</v>
      </c>
      <c r="B16" s="82">
        <v>11</v>
      </c>
      <c r="C16" s="80"/>
      <c r="D16" s="80"/>
      <c r="E16" s="85"/>
      <c r="AA16" s="22" t="s">
        <v>69</v>
      </c>
      <c r="AB16" s="44">
        <v>9</v>
      </c>
      <c r="AC16" s="22">
        <f>AB16</f>
        <v>9</v>
      </c>
      <c r="AE16" s="27" t="s">
        <v>78</v>
      </c>
      <c r="AF16" s="22" t="s">
        <v>73</v>
      </c>
      <c r="AG16" s="139">
        <f>AC24*0.9</f>
        <v>72</v>
      </c>
    </row>
    <row r="17" spans="1:33" ht="15.75" thickBot="1">
      <c r="A17" s="83">
        <v>16</v>
      </c>
      <c r="B17" s="84">
        <v>12</v>
      </c>
      <c r="C17" s="80"/>
      <c r="D17" s="80"/>
      <c r="E17" s="85"/>
      <c r="AA17" s="137" t="s">
        <v>70</v>
      </c>
      <c r="AB17" s="138">
        <v>18</v>
      </c>
      <c r="AC17" s="137">
        <f>AC16+AB17</f>
        <v>27</v>
      </c>
      <c r="AE17" s="20" t="s">
        <v>55</v>
      </c>
      <c r="AF17" s="16" t="s">
        <v>71</v>
      </c>
      <c r="AG17" s="140">
        <f>AC24*0.5</f>
        <v>40</v>
      </c>
    </row>
    <row r="18" spans="1:33" ht="15.75" thickBot="1">
      <c r="A18" s="99" t="s">
        <v>15</v>
      </c>
      <c r="B18" s="100">
        <f>COUNT(B2:B17)</f>
        <v>16</v>
      </c>
      <c r="C18" s="86"/>
      <c r="D18" s="86"/>
      <c r="E18" s="87"/>
      <c r="AA18" s="16" t="s">
        <v>71</v>
      </c>
      <c r="AB18" s="45">
        <v>23</v>
      </c>
      <c r="AC18" s="16">
        <f t="shared" ref="AC18:AC24" si="0">AC17+AB18</f>
        <v>50</v>
      </c>
      <c r="AE18" s="20" t="s">
        <v>65</v>
      </c>
      <c r="AF18" s="16" t="s">
        <v>71</v>
      </c>
      <c r="AG18" s="140">
        <f>AC24*0.5</f>
        <v>40</v>
      </c>
    </row>
    <row r="19" spans="1:33">
      <c r="AA19" s="137" t="s">
        <v>72</v>
      </c>
      <c r="AB19" s="138">
        <v>16</v>
      </c>
      <c r="AC19" s="137">
        <f t="shared" si="0"/>
        <v>66</v>
      </c>
      <c r="AE19" s="20" t="s">
        <v>79</v>
      </c>
      <c r="AF19" s="16" t="s">
        <v>70</v>
      </c>
      <c r="AG19" s="140">
        <f>AC24*0.13</f>
        <v>10.4</v>
      </c>
    </row>
    <row r="20" spans="1:33" ht="15.75" thickBot="1">
      <c r="AA20" s="16" t="s">
        <v>73</v>
      </c>
      <c r="AB20" s="45">
        <v>7</v>
      </c>
      <c r="AC20" s="16">
        <f t="shared" si="0"/>
        <v>73</v>
      </c>
      <c r="AE20" s="21" t="s">
        <v>46</v>
      </c>
      <c r="AF20" s="142" t="s">
        <v>72</v>
      </c>
      <c r="AG20" s="141">
        <f>AC24*0.66</f>
        <v>52.800000000000004</v>
      </c>
    </row>
    <row r="21" spans="1:33" ht="15.75" thickBot="1">
      <c r="A21" s="98" t="s">
        <v>56</v>
      </c>
      <c r="B21" s="97" t="s">
        <v>45</v>
      </c>
      <c r="C21" s="88"/>
      <c r="D21" s="105" t="s">
        <v>53</v>
      </c>
      <c r="E21" s="106" t="s">
        <v>52</v>
      </c>
      <c r="F21" s="31" t="s">
        <v>51</v>
      </c>
      <c r="AA21" s="137" t="s">
        <v>74</v>
      </c>
      <c r="AB21" s="138">
        <v>3</v>
      </c>
      <c r="AC21" s="137">
        <f t="shared" si="0"/>
        <v>76</v>
      </c>
    </row>
    <row r="22" spans="1:33">
      <c r="A22" s="95">
        <v>1</v>
      </c>
      <c r="B22" s="96">
        <v>2.2999999999999998</v>
      </c>
      <c r="C22" s="88"/>
      <c r="D22" s="107" t="s">
        <v>46</v>
      </c>
      <c r="E22" s="36">
        <f>3.5 + 0.92*(3.6-3.5)</f>
        <v>3.5920000000000001</v>
      </c>
      <c r="F22" s="32">
        <f>0.66*B34</f>
        <v>7.92</v>
      </c>
      <c r="AA22" s="16" t="s">
        <v>75</v>
      </c>
      <c r="AB22" s="45">
        <v>2</v>
      </c>
      <c r="AC22" s="16">
        <f t="shared" si="0"/>
        <v>78</v>
      </c>
    </row>
    <row r="23" spans="1:33">
      <c r="A23" s="89">
        <v>2</v>
      </c>
      <c r="B23" s="90">
        <v>2.4</v>
      </c>
      <c r="C23" s="88"/>
      <c r="D23" s="107" t="s">
        <v>47</v>
      </c>
      <c r="E23" s="36">
        <f>B23+0.4*(B24-B23)</f>
        <v>2.44</v>
      </c>
      <c r="F23" s="32">
        <f>0.2*B34</f>
        <v>2.4000000000000004</v>
      </c>
      <c r="AA23" s="137" t="s">
        <v>76</v>
      </c>
      <c r="AB23" s="138">
        <v>1</v>
      </c>
      <c r="AC23" s="137">
        <f t="shared" si="0"/>
        <v>79</v>
      </c>
    </row>
    <row r="24" spans="1:33" ht="15.75" thickBot="1">
      <c r="A24" s="89">
        <v>3</v>
      </c>
      <c r="B24" s="90">
        <v>2.5</v>
      </c>
      <c r="C24" s="88"/>
      <c r="D24" s="107" t="s">
        <v>49</v>
      </c>
      <c r="E24" s="36">
        <v>2.5</v>
      </c>
      <c r="F24" s="32">
        <f>0.25*B34</f>
        <v>3</v>
      </c>
      <c r="AA24" s="17" t="s">
        <v>77</v>
      </c>
      <c r="AB24" s="54">
        <v>1</v>
      </c>
      <c r="AC24" s="17">
        <f t="shared" si="0"/>
        <v>80</v>
      </c>
    </row>
    <row r="25" spans="1:33" ht="15.75" thickBot="1">
      <c r="A25" s="89">
        <v>4</v>
      </c>
      <c r="B25" s="90">
        <v>2.7</v>
      </c>
      <c r="C25" s="88"/>
      <c r="D25" s="108" t="s">
        <v>48</v>
      </c>
      <c r="E25" s="109">
        <f>B22+0.84*(B23-B22)</f>
        <v>2.3839999999999999</v>
      </c>
      <c r="F25" s="33">
        <f>0.07*B34</f>
        <v>0.84000000000000008</v>
      </c>
      <c r="AA25" s="135" t="s">
        <v>15</v>
      </c>
      <c r="AB25" s="136">
        <f>SUM(AB16:AB24)</f>
        <v>80</v>
      </c>
    </row>
    <row r="26" spans="1:33">
      <c r="A26" s="89">
        <v>5</v>
      </c>
      <c r="B26" s="90">
        <v>2.9</v>
      </c>
      <c r="C26" s="88"/>
      <c r="D26" s="88"/>
      <c r="E26" s="88"/>
      <c r="F26" s="88"/>
    </row>
    <row r="27" spans="1:33">
      <c r="A27" s="89">
        <v>6</v>
      </c>
      <c r="B27" s="90">
        <v>3.3</v>
      </c>
      <c r="C27" s="88"/>
      <c r="D27" s="88"/>
      <c r="E27" s="88"/>
      <c r="F27" s="88"/>
    </row>
    <row r="28" spans="1:33">
      <c r="A28" s="89">
        <v>7</v>
      </c>
      <c r="B28" s="90">
        <v>3.5</v>
      </c>
      <c r="C28" s="88"/>
      <c r="D28" s="88"/>
      <c r="E28" s="88"/>
      <c r="F28" s="88"/>
    </row>
    <row r="29" spans="1:33">
      <c r="A29" s="89">
        <v>8</v>
      </c>
      <c r="B29" s="90">
        <v>3.6</v>
      </c>
      <c r="C29" s="88"/>
      <c r="D29" s="88"/>
      <c r="E29" s="88"/>
      <c r="F29" s="88"/>
    </row>
    <row r="30" spans="1:33">
      <c r="A30" s="89">
        <v>9</v>
      </c>
      <c r="B30" s="90">
        <v>3.8</v>
      </c>
      <c r="C30" s="88"/>
      <c r="D30" s="88"/>
      <c r="E30" s="88"/>
      <c r="F30" s="88"/>
    </row>
    <row r="31" spans="1:33" ht="15.75" thickBot="1">
      <c r="A31" s="89">
        <v>10</v>
      </c>
      <c r="B31" s="90">
        <v>3.9</v>
      </c>
      <c r="C31" s="88"/>
      <c r="D31" s="88"/>
      <c r="E31" s="88"/>
      <c r="F31" s="88"/>
    </row>
    <row r="32" spans="1:33" ht="15.75" thickBot="1">
      <c r="A32" s="89">
        <v>11</v>
      </c>
      <c r="B32" s="90">
        <v>4.0999999999999996</v>
      </c>
      <c r="C32" s="88"/>
      <c r="D32" s="88"/>
      <c r="E32" s="88"/>
      <c r="F32" s="88"/>
      <c r="AA32" s="57" t="s">
        <v>68</v>
      </c>
      <c r="AB32" s="58" t="s">
        <v>23</v>
      </c>
      <c r="AC32" s="146" t="s">
        <v>58</v>
      </c>
      <c r="AE32" s="127" t="s">
        <v>53</v>
      </c>
      <c r="AF32" s="129" t="s">
        <v>52</v>
      </c>
      <c r="AG32" s="128" t="s">
        <v>51</v>
      </c>
    </row>
    <row r="33" spans="1:33" ht="15.75" thickBot="1">
      <c r="A33" s="91">
        <v>12</v>
      </c>
      <c r="B33" s="92">
        <v>4.8</v>
      </c>
      <c r="C33" s="88"/>
      <c r="D33" s="88"/>
      <c r="E33" s="88"/>
      <c r="F33" s="88"/>
      <c r="AA33" s="145" t="s">
        <v>80</v>
      </c>
      <c r="AB33" s="22">
        <v>20</v>
      </c>
      <c r="AC33" s="139">
        <f>AB33</f>
        <v>20</v>
      </c>
      <c r="AE33" s="19" t="s">
        <v>89</v>
      </c>
      <c r="AF33" s="15"/>
      <c r="AG33" s="149">
        <f>AC41*0.7</f>
        <v>191.79999999999998</v>
      </c>
    </row>
    <row r="34" spans="1:33" ht="15.75" thickBot="1">
      <c r="A34" s="93" t="s">
        <v>15</v>
      </c>
      <c r="B34" s="94">
        <f>COUNT(B22:B33)</f>
        <v>12</v>
      </c>
      <c r="C34" s="88"/>
      <c r="D34" s="88"/>
      <c r="E34" s="88"/>
      <c r="F34" s="88"/>
      <c r="AA34" s="143" t="s">
        <v>81</v>
      </c>
      <c r="AB34" s="16">
        <v>44</v>
      </c>
      <c r="AC34" s="140">
        <f>AC33+AB34</f>
        <v>64</v>
      </c>
      <c r="AE34" s="20" t="s">
        <v>50</v>
      </c>
      <c r="AF34" s="16"/>
      <c r="AG34" s="140">
        <f>AC41*0.75</f>
        <v>205.5</v>
      </c>
    </row>
    <row r="35" spans="1:33">
      <c r="AA35" s="143" t="s">
        <v>82</v>
      </c>
      <c r="AB35" s="16">
        <v>36</v>
      </c>
      <c r="AC35" s="140">
        <f t="shared" ref="AC35:AC41" si="1">AC34+AB35</f>
        <v>100</v>
      </c>
      <c r="AE35" s="20" t="s">
        <v>47</v>
      </c>
      <c r="AF35" s="16"/>
      <c r="AG35" s="140">
        <f>AC41*0.2</f>
        <v>54.800000000000004</v>
      </c>
    </row>
    <row r="36" spans="1:33" ht="15.75" thickBot="1">
      <c r="AA36" s="143" t="s">
        <v>83</v>
      </c>
      <c r="AB36" s="16">
        <v>48</v>
      </c>
      <c r="AC36" s="140">
        <f t="shared" si="1"/>
        <v>148</v>
      </c>
      <c r="AE36" s="20" t="s">
        <v>90</v>
      </c>
      <c r="AF36" s="16"/>
      <c r="AG36" s="140">
        <f>AC41*0.34</f>
        <v>93.160000000000011</v>
      </c>
    </row>
    <row r="37" spans="1:33" ht="15.75" thickBot="1">
      <c r="A37" s="110" t="s">
        <v>56</v>
      </c>
      <c r="B37" s="111" t="s">
        <v>54</v>
      </c>
      <c r="C37" s="73"/>
      <c r="D37" t="s">
        <v>53</v>
      </c>
      <c r="E37" t="s">
        <v>52</v>
      </c>
      <c r="F37" t="s">
        <v>56</v>
      </c>
      <c r="AA37" s="143" t="s">
        <v>84</v>
      </c>
      <c r="AB37" s="16">
        <v>57</v>
      </c>
      <c r="AC37" s="140">
        <f t="shared" si="1"/>
        <v>205</v>
      </c>
      <c r="AE37" s="21" t="s">
        <v>91</v>
      </c>
      <c r="AF37" s="17"/>
      <c r="AG37" s="141">
        <f>AC41*0.97</f>
        <v>265.77999999999997</v>
      </c>
    </row>
    <row r="38" spans="1:33">
      <c r="A38" s="112">
        <v>1</v>
      </c>
      <c r="B38" s="113">
        <v>1.01</v>
      </c>
      <c r="C38" s="73"/>
      <c r="D38" t="s">
        <v>49</v>
      </c>
      <c r="E38">
        <f>B39+0.5*(B40-B39)</f>
        <v>1.0150000000000001</v>
      </c>
      <c r="F38">
        <f>0.25*B48</f>
        <v>2.5</v>
      </c>
      <c r="AA38" s="143" t="s">
        <v>85</v>
      </c>
      <c r="AB38" s="16">
        <v>33</v>
      </c>
      <c r="AC38" s="140">
        <f t="shared" si="1"/>
        <v>238</v>
      </c>
    </row>
    <row r="39" spans="1:33">
      <c r="A39" s="114">
        <v>2</v>
      </c>
      <c r="B39" s="115">
        <v>1.01</v>
      </c>
      <c r="C39" s="73"/>
      <c r="D39" t="s">
        <v>55</v>
      </c>
      <c r="E39">
        <f>B42+0.5*(B43-B42)</f>
        <v>1.0350000000000001</v>
      </c>
      <c r="F39" s="120">
        <f>0.5*B48</f>
        <v>5</v>
      </c>
      <c r="AA39" s="143" t="s">
        <v>86</v>
      </c>
      <c r="AB39" s="16">
        <v>22</v>
      </c>
      <c r="AC39" s="140">
        <f t="shared" si="1"/>
        <v>260</v>
      </c>
    </row>
    <row r="40" spans="1:33">
      <c r="A40" s="114">
        <v>3</v>
      </c>
      <c r="B40" s="115">
        <v>1.02</v>
      </c>
      <c r="C40" s="73"/>
      <c r="D40" t="s">
        <v>50</v>
      </c>
      <c r="E40">
        <f>B44+0.5*(B45-B44)</f>
        <v>1.0550000000000002</v>
      </c>
      <c r="F40">
        <f>0.75*B48</f>
        <v>7.5</v>
      </c>
      <c r="AA40" s="143" t="s">
        <v>87</v>
      </c>
      <c r="AB40" s="16">
        <v>10</v>
      </c>
      <c r="AC40" s="140">
        <f t="shared" si="1"/>
        <v>270</v>
      </c>
    </row>
    <row r="41" spans="1:33" ht="15.75" thickBot="1">
      <c r="A41" s="114">
        <v>4</v>
      </c>
      <c r="B41" s="115">
        <v>1.03</v>
      </c>
      <c r="C41" s="73"/>
      <c r="D41" t="s">
        <v>43</v>
      </c>
      <c r="E41">
        <f>B43</f>
        <v>1.04</v>
      </c>
      <c r="F41">
        <f>0.6*B48</f>
        <v>6</v>
      </c>
      <c r="AA41" s="144" t="s">
        <v>88</v>
      </c>
      <c r="AB41" s="17">
        <v>4</v>
      </c>
      <c r="AC41" s="141">
        <f t="shared" si="1"/>
        <v>274</v>
      </c>
    </row>
    <row r="42" spans="1:33">
      <c r="A42" s="114">
        <v>5</v>
      </c>
      <c r="B42" s="115">
        <v>1.03</v>
      </c>
      <c r="C42" s="73"/>
      <c r="D42" t="s">
        <v>44</v>
      </c>
      <c r="E42">
        <f>B40+0.7*(B41-B40)</f>
        <v>1.0269999999999999</v>
      </c>
      <c r="F42">
        <f>0.37*B48</f>
        <v>3.7</v>
      </c>
    </row>
    <row r="43" spans="1:33">
      <c r="A43" s="114">
        <v>6</v>
      </c>
      <c r="B43" s="115">
        <v>1.04</v>
      </c>
      <c r="C43" s="73"/>
      <c r="D43" s="73"/>
      <c r="E43" s="73"/>
      <c r="F43" s="73"/>
    </row>
    <row r="44" spans="1:33">
      <c r="A44" s="114">
        <v>7</v>
      </c>
      <c r="B44" s="115">
        <v>1.05</v>
      </c>
      <c r="C44" s="73"/>
      <c r="D44" s="73"/>
      <c r="E44" s="73"/>
      <c r="F44" s="73"/>
    </row>
    <row r="45" spans="1:33">
      <c r="A45" s="114">
        <v>8</v>
      </c>
      <c r="B45" s="115">
        <v>1.06</v>
      </c>
      <c r="C45" s="73"/>
      <c r="D45" s="73"/>
      <c r="E45" s="73"/>
      <c r="F45" s="73"/>
    </row>
    <row r="46" spans="1:33">
      <c r="A46" s="114">
        <v>9</v>
      </c>
      <c r="B46" s="115">
        <v>1.07</v>
      </c>
      <c r="C46" s="73"/>
      <c r="D46" s="73"/>
      <c r="E46" s="73"/>
      <c r="F46" s="73"/>
    </row>
    <row r="47" spans="1:33" ht="15.75" thickBot="1">
      <c r="A47" s="116">
        <v>10</v>
      </c>
      <c r="B47" s="117">
        <v>1.0900000000000001</v>
      </c>
      <c r="C47" s="73"/>
      <c r="D47" s="73"/>
      <c r="E47" s="73"/>
      <c r="F47" s="73"/>
    </row>
    <row r="48" spans="1:33" ht="15.75" thickBot="1">
      <c r="A48" s="118" t="s">
        <v>15</v>
      </c>
      <c r="B48" s="119">
        <f>COUNT(B38:B47)</f>
        <v>10</v>
      </c>
      <c r="C48" s="73"/>
      <c r="D48" s="73"/>
      <c r="E48" s="73"/>
      <c r="F48" s="73"/>
    </row>
  </sheetData>
  <phoneticPr fontId="4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83218-AC85-45B4-9E5E-5712D1D199FD}">
  <sheetPr>
    <tabColor theme="5" tint="-0.249977111117893"/>
  </sheetPr>
  <dimension ref="A1:BI107"/>
  <sheetViews>
    <sheetView tabSelected="1" topLeftCell="AM1" zoomScale="55" zoomScaleNormal="55" workbookViewId="0">
      <selection activeCell="BB74" sqref="BB74:BB75"/>
    </sheetView>
  </sheetViews>
  <sheetFormatPr baseColWidth="10" defaultRowHeight="15"/>
  <cols>
    <col min="1" max="1" width="23.5703125" customWidth="1"/>
    <col min="2" max="2" width="10.5703125" customWidth="1"/>
    <col min="9" max="9" width="11.85546875" bestFit="1" customWidth="1"/>
    <col min="11" max="11" width="29" bestFit="1" customWidth="1"/>
    <col min="12" max="12" width="13.28515625" bestFit="1" customWidth="1"/>
    <col min="13" max="13" width="13.140625" bestFit="1" customWidth="1"/>
    <col min="17" max="17" width="16" customWidth="1"/>
    <col min="18" max="18" width="12.42578125" customWidth="1"/>
    <col min="35" max="35" width="15.7109375" bestFit="1" customWidth="1"/>
    <col min="38" max="38" width="19.85546875" bestFit="1" customWidth="1"/>
    <col min="39" max="39" width="13.42578125" customWidth="1"/>
    <col min="52" max="52" width="12.28515625" bestFit="1" customWidth="1"/>
    <col min="53" max="53" width="20.140625" bestFit="1" customWidth="1"/>
    <col min="54" max="54" width="15" bestFit="1" customWidth="1"/>
    <col min="55" max="55" width="14.140625" bestFit="1" customWidth="1"/>
    <col min="56" max="56" width="22.7109375" customWidth="1"/>
    <col min="57" max="57" width="22" customWidth="1"/>
    <col min="58" max="58" width="14.140625" bestFit="1" customWidth="1"/>
    <col min="59" max="59" width="17" bestFit="1" customWidth="1"/>
  </cols>
  <sheetData>
    <row r="1" spans="1:61" ht="18.75" customHeight="1" thickBot="1">
      <c r="I1" s="150" t="s">
        <v>92</v>
      </c>
      <c r="R1" s="151" t="s">
        <v>92</v>
      </c>
      <c r="S1" s="163" t="s">
        <v>15</v>
      </c>
      <c r="AG1" t="s">
        <v>124</v>
      </c>
      <c r="AH1" s="185" t="s">
        <v>118</v>
      </c>
      <c r="AI1" s="186" t="s">
        <v>1</v>
      </c>
      <c r="AJ1" s="187" t="s">
        <v>17</v>
      </c>
      <c r="AL1" s="226" t="s">
        <v>120</v>
      </c>
      <c r="AM1" s="227"/>
      <c r="AZ1" s="243" t="s">
        <v>129</v>
      </c>
      <c r="BA1" s="244" t="s">
        <v>1</v>
      </c>
      <c r="BB1" s="245" t="s">
        <v>136</v>
      </c>
      <c r="BC1" s="245" t="s">
        <v>137</v>
      </c>
      <c r="BD1" s="245" t="s">
        <v>138</v>
      </c>
      <c r="BE1" s="245" t="s">
        <v>139</v>
      </c>
      <c r="BF1" s="246" t="s">
        <v>140</v>
      </c>
      <c r="BG1" s="6"/>
      <c r="BH1" s="6"/>
      <c r="BI1" s="6"/>
    </row>
    <row r="2" spans="1:61" ht="15.75" thickBot="1">
      <c r="I2" s="22">
        <v>20</v>
      </c>
      <c r="R2" s="27">
        <v>88</v>
      </c>
      <c r="S2" s="17">
        <f>COUNT(R2:R31)</f>
        <v>30</v>
      </c>
      <c r="AH2" s="9">
        <v>4</v>
      </c>
      <c r="AI2" s="165">
        <v>10</v>
      </c>
      <c r="AJ2" s="180">
        <f>AH2*AI2</f>
        <v>40</v>
      </c>
      <c r="AL2" s="89" t="s">
        <v>53</v>
      </c>
      <c r="AM2" s="90" t="s">
        <v>52</v>
      </c>
      <c r="AZ2" s="9" t="s">
        <v>127</v>
      </c>
      <c r="BA2" s="165">
        <v>32</v>
      </c>
      <c r="BB2" s="165">
        <f>(LEFT(AZ2,3)+RIGHT(AZ2,3))/2</f>
        <v>505.5</v>
      </c>
      <c r="BC2" s="189">
        <f>BA2*BB2</f>
        <v>16176</v>
      </c>
      <c r="BD2" s="190">
        <f>BB2-BB$11</f>
        <v>-21.9140625</v>
      </c>
      <c r="BE2" s="191">
        <f>(BB2-BB$11)^2</f>
        <v>480.22613525390625</v>
      </c>
      <c r="BF2" s="192">
        <f>BA2*(BB2-BB$11)^2</f>
        <v>15367.236328125</v>
      </c>
      <c r="BG2" s="7"/>
      <c r="BH2" s="8"/>
      <c r="BI2" s="8"/>
    </row>
    <row r="3" spans="1:61">
      <c r="I3" s="16">
        <v>105</v>
      </c>
      <c r="R3" s="16">
        <v>89</v>
      </c>
      <c r="AH3" s="9">
        <v>5</v>
      </c>
      <c r="AI3" s="165">
        <v>13</v>
      </c>
      <c r="AJ3" s="180">
        <f t="shared" ref="AJ3:AJ8" si="0">AH3*AI3</f>
        <v>65</v>
      </c>
      <c r="AL3" s="176" t="s">
        <v>104</v>
      </c>
      <c r="AM3" s="51">
        <f>AVERAGE(AJ2:AJ8)</f>
        <v>91.857142857142861</v>
      </c>
      <c r="AZ3" s="9" t="s">
        <v>128</v>
      </c>
      <c r="BA3" s="165">
        <v>59</v>
      </c>
      <c r="BB3" s="165">
        <f t="shared" ref="BB3:BB7" si="1">(LEFT(AZ3,3)+RIGHT(AZ3,3))/2</f>
        <v>515.5</v>
      </c>
      <c r="BC3" s="189">
        <f t="shared" ref="BC3:BC7" si="2">BA3*BB3</f>
        <v>30414.5</v>
      </c>
      <c r="BD3" s="190">
        <f t="shared" ref="BD3:BD6" si="3">BB3-BB$11</f>
        <v>-11.9140625</v>
      </c>
      <c r="BE3" s="191">
        <f t="shared" ref="BE3:BE7" si="4">(BB3-BB$11)^2</f>
        <v>141.94488525390625</v>
      </c>
      <c r="BF3" s="192">
        <f t="shared" ref="BF3:BF6" si="5">BA3*(BB3-BB$11)^2</f>
        <v>8374.7482299804688</v>
      </c>
      <c r="BG3" s="7"/>
      <c r="BH3" s="188"/>
      <c r="BI3" s="8"/>
    </row>
    <row r="4" spans="1:61">
      <c r="I4" s="16">
        <v>108</v>
      </c>
      <c r="R4" s="16">
        <v>85</v>
      </c>
      <c r="AH4" s="9">
        <v>6</v>
      </c>
      <c r="AI4" s="165">
        <v>15</v>
      </c>
      <c r="AJ4" s="180">
        <f t="shared" si="0"/>
        <v>90</v>
      </c>
      <c r="AL4" s="176" t="s">
        <v>101</v>
      </c>
      <c r="AM4" s="51">
        <f>_xlfn.VAR.S(AJ2:AJ8)</f>
        <v>886.14285714285745</v>
      </c>
      <c r="AZ4" s="9" t="s">
        <v>130</v>
      </c>
      <c r="BA4" s="165">
        <v>82</v>
      </c>
      <c r="BB4" s="165">
        <f t="shared" si="1"/>
        <v>525.5</v>
      </c>
      <c r="BC4" s="189">
        <f t="shared" si="2"/>
        <v>43091</v>
      </c>
      <c r="BD4" s="190">
        <f t="shared" si="3"/>
        <v>-1.9140625</v>
      </c>
      <c r="BE4" s="191">
        <f t="shared" si="4"/>
        <v>3.66363525390625</v>
      </c>
      <c r="BF4" s="192">
        <f t="shared" si="5"/>
        <v>300.4180908203125</v>
      </c>
      <c r="BG4" s="7"/>
      <c r="BH4" s="188"/>
      <c r="BI4" s="8"/>
    </row>
    <row r="5" spans="1:61" ht="15.75" thickBot="1">
      <c r="I5" s="16">
        <v>112</v>
      </c>
      <c r="R5" s="16">
        <v>77</v>
      </c>
      <c r="AH5" s="9">
        <v>7</v>
      </c>
      <c r="AI5" s="165">
        <v>18</v>
      </c>
      <c r="AJ5" s="180">
        <f t="shared" si="0"/>
        <v>126</v>
      </c>
      <c r="AL5" s="177" t="s">
        <v>102</v>
      </c>
      <c r="AM5" s="52">
        <f>_xlfn.STDEV.S(AJ2:AJ8)</f>
        <v>29.768151725339909</v>
      </c>
      <c r="AZ5" s="9" t="s">
        <v>131</v>
      </c>
      <c r="BA5" s="165">
        <v>21</v>
      </c>
      <c r="BB5" s="165">
        <f t="shared" si="1"/>
        <v>535.5</v>
      </c>
      <c r="BC5" s="189">
        <f t="shared" si="2"/>
        <v>11245.5</v>
      </c>
      <c r="BD5" s="190">
        <f t="shared" si="3"/>
        <v>8.0859375</v>
      </c>
      <c r="BE5" s="191">
        <f t="shared" si="4"/>
        <v>65.38238525390625</v>
      </c>
      <c r="BF5" s="192">
        <f t="shared" si="5"/>
        <v>1373.0300903320313</v>
      </c>
      <c r="BG5" s="7"/>
      <c r="BH5" s="188"/>
      <c r="BI5" s="8"/>
    </row>
    <row r="6" spans="1:61">
      <c r="I6" s="16">
        <v>113</v>
      </c>
      <c r="R6" s="16">
        <v>70</v>
      </c>
      <c r="AH6" s="9">
        <v>8</v>
      </c>
      <c r="AI6" s="165">
        <v>13</v>
      </c>
      <c r="AJ6" s="180">
        <f t="shared" si="0"/>
        <v>104</v>
      </c>
      <c r="AZ6" s="9" t="s">
        <v>132</v>
      </c>
      <c r="BA6" s="165">
        <v>35</v>
      </c>
      <c r="BB6" s="165">
        <f t="shared" si="1"/>
        <v>545.5</v>
      </c>
      <c r="BC6" s="189">
        <f t="shared" si="2"/>
        <v>19092.5</v>
      </c>
      <c r="BD6" s="190">
        <f t="shared" si="3"/>
        <v>18.0859375</v>
      </c>
      <c r="BE6" s="191">
        <f t="shared" si="4"/>
        <v>327.10113525390625</v>
      </c>
      <c r="BF6" s="192">
        <f t="shared" si="5"/>
        <v>11448.539733886719</v>
      </c>
    </row>
    <row r="7" spans="1:61" ht="15.75" thickBot="1">
      <c r="I7" s="16">
        <v>114</v>
      </c>
      <c r="R7" s="16">
        <v>85</v>
      </c>
      <c r="AH7" s="9">
        <v>9</v>
      </c>
      <c r="AI7" s="165">
        <v>12</v>
      </c>
      <c r="AJ7" s="180">
        <f t="shared" si="0"/>
        <v>108</v>
      </c>
      <c r="AZ7" s="11" t="s">
        <v>133</v>
      </c>
      <c r="BA7" s="196">
        <v>27</v>
      </c>
      <c r="BB7" s="196">
        <f t="shared" si="1"/>
        <v>555.5</v>
      </c>
      <c r="BC7" s="197">
        <f t="shared" si="2"/>
        <v>14998.5</v>
      </c>
      <c r="BD7" s="193">
        <f>BB7-BB$11</f>
        <v>28.0859375</v>
      </c>
      <c r="BE7" s="194">
        <f t="shared" si="4"/>
        <v>788.81988525390625</v>
      </c>
      <c r="BF7" s="195">
        <f>BA7*(BB7-BB$11)^2</f>
        <v>21298.136901855469</v>
      </c>
    </row>
    <row r="8" spans="1:61" ht="18.75" customHeight="1" thickBot="1">
      <c r="I8" s="16">
        <v>115</v>
      </c>
      <c r="R8" s="16">
        <v>83</v>
      </c>
      <c r="AH8" s="9">
        <v>10</v>
      </c>
      <c r="AI8" s="165">
        <v>11</v>
      </c>
      <c r="AJ8" s="180">
        <f t="shared" si="0"/>
        <v>110</v>
      </c>
      <c r="AZ8" s="199" t="s">
        <v>134</v>
      </c>
      <c r="BA8" s="200">
        <v>256</v>
      </c>
      <c r="BB8" s="200"/>
      <c r="BC8" s="201">
        <f>SUM(BC2:BC7)</f>
        <v>135018</v>
      </c>
      <c r="BF8" s="202">
        <f>SUM(BF2:BF7)</f>
        <v>58162.109375</v>
      </c>
    </row>
    <row r="9" spans="1:61" ht="15" customHeight="1" thickBot="1">
      <c r="I9" s="16">
        <v>116</v>
      </c>
      <c r="R9" s="16">
        <v>90</v>
      </c>
      <c r="AH9" s="181" t="s">
        <v>15</v>
      </c>
      <c r="AI9" s="180">
        <f>SUM(AI2:AI8)</f>
        <v>92</v>
      </c>
      <c r="AJ9" s="180">
        <f>SUM(AJ2:AJ8)</f>
        <v>643</v>
      </c>
    </row>
    <row r="10" spans="1:61" ht="15.75" customHeight="1" thickBot="1">
      <c r="A10" s="232" t="s">
        <v>93</v>
      </c>
      <c r="B10" s="234" t="s">
        <v>97</v>
      </c>
      <c r="I10" s="16">
        <v>118</v>
      </c>
      <c r="R10" s="16">
        <v>78</v>
      </c>
    </row>
    <row r="11" spans="1:61" ht="15.75" thickBot="1">
      <c r="A11" s="233"/>
      <c r="B11" s="235"/>
      <c r="I11" s="16">
        <v>119</v>
      </c>
      <c r="R11" s="16">
        <v>73</v>
      </c>
      <c r="BA11" s="247" t="s">
        <v>104</v>
      </c>
      <c r="BB11" s="203">
        <f>BC8/BA8</f>
        <v>527.4140625</v>
      </c>
    </row>
    <row r="12" spans="1:61" ht="19.5" thickBot="1">
      <c r="A12" s="153" t="s">
        <v>94</v>
      </c>
      <c r="B12" s="156">
        <f>(SUM(I2:I21))/I22</f>
        <v>113.4</v>
      </c>
      <c r="I12" s="16">
        <v>119</v>
      </c>
      <c r="R12" s="16">
        <v>80</v>
      </c>
      <c r="AG12" t="s">
        <v>125</v>
      </c>
      <c r="AH12" s="182" t="s">
        <v>118</v>
      </c>
      <c r="AI12" s="183" t="s">
        <v>1</v>
      </c>
      <c r="AJ12" s="184" t="s">
        <v>17</v>
      </c>
      <c r="AL12" s="240" t="s">
        <v>120</v>
      </c>
      <c r="AM12" s="241"/>
      <c r="BA12" s="248" t="s">
        <v>101</v>
      </c>
      <c r="BB12" s="204">
        <f>BF8/BA8</f>
        <v>227.19573974609375</v>
      </c>
    </row>
    <row r="13" spans="1:61" ht="16.5" thickBot="1">
      <c r="A13" s="154" t="s">
        <v>95</v>
      </c>
      <c r="B13" s="157">
        <f>_xlfn.VAR.S(I2:I21)</f>
        <v>531.8315789473678</v>
      </c>
      <c r="I13" s="16">
        <v>120</v>
      </c>
      <c r="K13" s="232" t="s">
        <v>105</v>
      </c>
      <c r="L13" s="234" t="s">
        <v>97</v>
      </c>
      <c r="R13" s="16">
        <v>78</v>
      </c>
      <c r="AH13" s="24">
        <v>9.5</v>
      </c>
      <c r="AI13" s="147">
        <v>30</v>
      </c>
      <c r="AJ13" s="148">
        <f>AH13*AI13</f>
        <v>285</v>
      </c>
      <c r="AL13" s="89" t="s">
        <v>53</v>
      </c>
      <c r="AM13" s="90" t="s">
        <v>52</v>
      </c>
      <c r="BA13" s="249" t="s">
        <v>141</v>
      </c>
      <c r="BB13" s="52">
        <f>SQRT(BB12)</f>
        <v>15.073013625220861</v>
      </c>
    </row>
    <row r="14" spans="1:61" ht="16.5" thickBot="1">
      <c r="A14" s="155" t="s">
        <v>96</v>
      </c>
      <c r="B14" s="158">
        <f>_xlfn.STDEV.S(I2:I21)</f>
        <v>23.061473910992067</v>
      </c>
      <c r="I14" s="16">
        <v>121</v>
      </c>
      <c r="K14" s="233"/>
      <c r="L14" s="235"/>
      <c r="R14" s="16">
        <v>70</v>
      </c>
      <c r="AH14" s="25">
        <v>10.5</v>
      </c>
      <c r="AI14" s="36">
        <v>33</v>
      </c>
      <c r="AJ14" s="131">
        <f t="shared" ref="AJ14:AJ19" si="6">AH14*AI14</f>
        <v>346.5</v>
      </c>
      <c r="AL14" s="176" t="s">
        <v>104</v>
      </c>
      <c r="AM14" s="51">
        <f>AVERAGE(AJ13:AJ19)</f>
        <v>420.91428571428571</v>
      </c>
    </row>
    <row r="15" spans="1:61" ht="15.75">
      <c r="I15" s="16">
        <v>121</v>
      </c>
      <c r="K15" s="153" t="s">
        <v>94</v>
      </c>
      <c r="L15" s="164">
        <f>(SUM(R2:R31))/S2</f>
        <v>80.933333333333337</v>
      </c>
      <c r="R15" s="16">
        <v>86</v>
      </c>
      <c r="AH15" s="25">
        <v>11.7</v>
      </c>
      <c r="AI15" s="36">
        <v>35</v>
      </c>
      <c r="AJ15" s="131">
        <f t="shared" si="6"/>
        <v>409.5</v>
      </c>
      <c r="AL15" s="176" t="s">
        <v>101</v>
      </c>
      <c r="AM15" s="51">
        <f>_xlfn.VAR.S(AJ13:AJ19)</f>
        <v>6490.518095238057</v>
      </c>
    </row>
    <row r="16" spans="1:61" ht="16.5" thickBot="1">
      <c r="I16" s="16">
        <v>124</v>
      </c>
      <c r="K16" s="154" t="s">
        <v>95</v>
      </c>
      <c r="L16" s="157">
        <f>_xlfn.VAR.S(R2:R31)</f>
        <v>50.133333333333333</v>
      </c>
      <c r="R16" s="16">
        <v>73</v>
      </c>
      <c r="AH16" s="25">
        <v>12.4</v>
      </c>
      <c r="AI16" s="36">
        <v>38</v>
      </c>
      <c r="AJ16" s="131">
        <f t="shared" si="6"/>
        <v>471.2</v>
      </c>
      <c r="AL16" s="177" t="s">
        <v>102</v>
      </c>
      <c r="AM16" s="52">
        <f>_xlfn.STDEV.S(AJ13:AJ19)</f>
        <v>80.563751745050055</v>
      </c>
    </row>
    <row r="17" spans="1:60" ht="16.5" thickBot="1">
      <c r="A17" s="236" t="s">
        <v>98</v>
      </c>
      <c r="B17" s="234" t="s">
        <v>97</v>
      </c>
      <c r="I17" s="16">
        <v>126</v>
      </c>
      <c r="K17" s="155" t="s">
        <v>96</v>
      </c>
      <c r="L17" s="158">
        <f>_xlfn.STDEV.S(R2:R31)</f>
        <v>7.0804896252542688</v>
      </c>
      <c r="R17" s="16">
        <v>83</v>
      </c>
      <c r="AH17" s="25">
        <v>13.7</v>
      </c>
      <c r="AI17" s="36">
        <v>33</v>
      </c>
      <c r="AJ17" s="131">
        <f t="shared" si="6"/>
        <v>452.09999999999997</v>
      </c>
    </row>
    <row r="18" spans="1:60">
      <c r="A18" s="237"/>
      <c r="B18" s="239"/>
      <c r="I18" s="16">
        <v>127</v>
      </c>
      <c r="R18" s="16">
        <v>85</v>
      </c>
      <c r="AH18" s="25">
        <v>14.5</v>
      </c>
      <c r="AI18" s="36">
        <v>32</v>
      </c>
      <c r="AJ18" s="131">
        <f t="shared" si="6"/>
        <v>464</v>
      </c>
    </row>
    <row r="19" spans="1:60" ht="15.75" thickBot="1">
      <c r="A19" s="238"/>
      <c r="B19" s="235"/>
      <c r="I19" s="16">
        <v>128</v>
      </c>
      <c r="R19" s="16">
        <v>87</v>
      </c>
      <c r="AH19" s="25">
        <v>15.7</v>
      </c>
      <c r="AI19" s="36">
        <v>33</v>
      </c>
      <c r="AJ19" s="131">
        <f t="shared" si="6"/>
        <v>518.1</v>
      </c>
    </row>
    <row r="20" spans="1:60" ht="16.5" thickBot="1">
      <c r="A20" s="153" t="s">
        <v>94</v>
      </c>
      <c r="B20" s="156">
        <f>(SUM(I2:I21))/I22</f>
        <v>113.4</v>
      </c>
      <c r="I20" s="16">
        <v>132</v>
      </c>
      <c r="R20" s="16">
        <v>70</v>
      </c>
      <c r="AH20" s="26" t="s">
        <v>15</v>
      </c>
      <c r="AI20" s="132">
        <f>SUM(AI13:AI19)</f>
        <v>234</v>
      </c>
      <c r="AJ20" s="133">
        <f>SUM(AJ13:AJ19)</f>
        <v>2946.4</v>
      </c>
    </row>
    <row r="21" spans="1:60" ht="16.5" thickBot="1">
      <c r="A21" s="154" t="s">
        <v>95</v>
      </c>
      <c r="B21" s="157">
        <f>_xlfn.VAR.P(I2:I21)</f>
        <v>505.24</v>
      </c>
      <c r="I21" s="23">
        <v>110</v>
      </c>
      <c r="R21" s="16">
        <v>75</v>
      </c>
    </row>
    <row r="22" spans="1:60" ht="16.5" thickBot="1">
      <c r="A22" s="155" t="s">
        <v>96</v>
      </c>
      <c r="B22" s="158">
        <f>_xlfn.STDEV.P(I10:I29)</f>
        <v>27.713239952034716</v>
      </c>
      <c r="H22" s="151" t="s">
        <v>15</v>
      </c>
      <c r="I22" s="150">
        <f>COUNT(I2:I21)</f>
        <v>20</v>
      </c>
      <c r="R22" s="16">
        <v>78</v>
      </c>
    </row>
    <row r="23" spans="1:60" ht="15.75" thickBot="1">
      <c r="R23" s="16">
        <v>93</v>
      </c>
    </row>
    <row r="24" spans="1:60">
      <c r="R24" s="16">
        <v>78</v>
      </c>
      <c r="BB24" s="243" t="s">
        <v>142</v>
      </c>
      <c r="BC24" s="244" t="s">
        <v>1</v>
      </c>
      <c r="BD24" s="244" t="s">
        <v>135</v>
      </c>
      <c r="BE24" s="244" t="s">
        <v>126</v>
      </c>
      <c r="BF24" s="245" t="s">
        <v>169</v>
      </c>
      <c r="BG24" s="245" t="s">
        <v>151</v>
      </c>
      <c r="BH24" s="246" t="s">
        <v>152</v>
      </c>
    </row>
    <row r="25" spans="1:60">
      <c r="R25" s="16">
        <v>94</v>
      </c>
      <c r="BB25" s="9" t="s">
        <v>143</v>
      </c>
      <c r="BC25" s="165">
        <v>13</v>
      </c>
      <c r="BD25" s="198">
        <f>(LEFT(BB25,3)+RIGHT(BB25,3))/2</f>
        <v>67</v>
      </c>
      <c r="BE25" s="36">
        <f>BD25*BC25</f>
        <v>871</v>
      </c>
      <c r="BF25" s="152">
        <f>BD25-BC$35</f>
        <v>-15.230769230769226</v>
      </c>
      <c r="BG25" s="205">
        <f>BF25^2</f>
        <v>231.9763313609466</v>
      </c>
      <c r="BH25" s="51">
        <f>BC25*(BF25)^2</f>
        <v>3015.6923076923058</v>
      </c>
    </row>
    <row r="26" spans="1:60" ht="15.75" thickBot="1">
      <c r="R26" s="16">
        <v>90</v>
      </c>
      <c r="AB26" s="159"/>
      <c r="BB26" s="9" t="s">
        <v>144</v>
      </c>
      <c r="BC26" s="165">
        <v>20</v>
      </c>
      <c r="BD26" s="198">
        <f t="shared" ref="BD26:BD31" si="7">(LEFT(BB26,3)+RIGHT(BB26,3))/2</f>
        <v>72</v>
      </c>
      <c r="BE26" s="36">
        <f t="shared" ref="BE26:BE31" si="8">BD26*BC26</f>
        <v>1440</v>
      </c>
      <c r="BF26" s="152">
        <f t="shared" ref="BF26:BF31" si="9">BD26-BC$35</f>
        <v>-10.230769230769226</v>
      </c>
      <c r="BG26" s="205">
        <f>BF26^2</f>
        <v>104.66863905325435</v>
      </c>
      <c r="BH26" s="51">
        <f t="shared" ref="BH26:BH31" si="10">BC26*(BF26)^2</f>
        <v>2093.3727810650871</v>
      </c>
    </row>
    <row r="27" spans="1:60" ht="15.75" thickBot="1">
      <c r="G27" s="242" t="s">
        <v>92</v>
      </c>
      <c r="R27" s="16">
        <v>73</v>
      </c>
      <c r="AB27" s="159"/>
      <c r="BB27" s="9" t="s">
        <v>145</v>
      </c>
      <c r="BC27" s="165">
        <v>10</v>
      </c>
      <c r="BD27" s="198">
        <f t="shared" si="7"/>
        <v>77</v>
      </c>
      <c r="BE27" s="36">
        <f t="shared" si="8"/>
        <v>770</v>
      </c>
      <c r="BF27" s="152">
        <f t="shared" si="9"/>
        <v>-5.2307692307692264</v>
      </c>
      <c r="BG27" s="205">
        <f t="shared" ref="BG27:BG31" si="11">BF27^2</f>
        <v>27.360946745562085</v>
      </c>
      <c r="BH27" s="51">
        <f t="shared" si="10"/>
        <v>273.60946745562086</v>
      </c>
    </row>
    <row r="28" spans="1:60">
      <c r="G28" s="15">
        <v>2.2999999999999998</v>
      </c>
      <c r="R28" s="16">
        <v>77</v>
      </c>
      <c r="AB28" s="159"/>
      <c r="BB28" s="9" t="s">
        <v>146</v>
      </c>
      <c r="BC28" s="165">
        <v>32</v>
      </c>
      <c r="BD28" s="198">
        <f t="shared" si="7"/>
        <v>82</v>
      </c>
      <c r="BE28" s="36">
        <f t="shared" si="8"/>
        <v>2624</v>
      </c>
      <c r="BF28" s="152">
        <f t="shared" si="9"/>
        <v>-0.2307692307692264</v>
      </c>
      <c r="BG28" s="205">
        <f t="shared" si="11"/>
        <v>5.3254437869820467E-2</v>
      </c>
      <c r="BH28" s="51">
        <f t="shared" si="10"/>
        <v>1.704142011834255</v>
      </c>
    </row>
    <row r="29" spans="1:60" ht="15.75" thickBot="1">
      <c r="G29" s="16">
        <v>3.4</v>
      </c>
      <c r="R29" s="16">
        <v>81</v>
      </c>
      <c r="AB29" s="159"/>
      <c r="BB29" s="9" t="s">
        <v>147</v>
      </c>
      <c r="BC29" s="165">
        <v>30</v>
      </c>
      <c r="BD29" s="198">
        <f t="shared" si="7"/>
        <v>87</v>
      </c>
      <c r="BE29" s="36">
        <f t="shared" si="8"/>
        <v>2610</v>
      </c>
      <c r="BF29" s="152">
        <f t="shared" si="9"/>
        <v>4.7692307692307736</v>
      </c>
      <c r="BG29" s="205">
        <f t="shared" si="11"/>
        <v>22.745562130177557</v>
      </c>
      <c r="BH29" s="51">
        <f>BC29*(BF29)^2</f>
        <v>682.36686390532668</v>
      </c>
    </row>
    <row r="30" spans="1:60" ht="19.5" thickBot="1">
      <c r="G30" s="16">
        <v>3.4</v>
      </c>
      <c r="R30" s="16">
        <v>86</v>
      </c>
      <c r="AG30" t="s">
        <v>122</v>
      </c>
      <c r="AH30" s="182" t="s">
        <v>118</v>
      </c>
      <c r="AI30" s="183" t="s">
        <v>1</v>
      </c>
      <c r="AJ30" s="184" t="s">
        <v>17</v>
      </c>
      <c r="AL30" s="174" t="s">
        <v>121</v>
      </c>
      <c r="AM30" s="175"/>
      <c r="BB30" s="9" t="s">
        <v>148</v>
      </c>
      <c r="BC30" s="165">
        <v>10</v>
      </c>
      <c r="BD30" s="198">
        <f t="shared" si="7"/>
        <v>92</v>
      </c>
      <c r="BE30" s="36">
        <f t="shared" si="8"/>
        <v>920</v>
      </c>
      <c r="BF30" s="152">
        <f t="shared" si="9"/>
        <v>9.7692307692307736</v>
      </c>
      <c r="BG30" s="205">
        <f>BF30^2</f>
        <v>95.437869822485297</v>
      </c>
      <c r="BH30" s="51">
        <f t="shared" si="10"/>
        <v>954.378698224853</v>
      </c>
    </row>
    <row r="31" spans="1:60" ht="15.75" thickBot="1">
      <c r="G31" s="16">
        <v>5.8</v>
      </c>
      <c r="R31" s="17">
        <v>73</v>
      </c>
      <c r="AH31" s="24">
        <v>7.54</v>
      </c>
      <c r="AI31" s="147">
        <v>15</v>
      </c>
      <c r="AJ31" s="148">
        <f>AH31*AI31</f>
        <v>113.1</v>
      </c>
      <c r="AL31" s="89" t="s">
        <v>53</v>
      </c>
      <c r="AM31" s="90" t="s">
        <v>52</v>
      </c>
      <c r="BB31" s="11" t="s">
        <v>149</v>
      </c>
      <c r="BC31" s="196">
        <v>15</v>
      </c>
      <c r="BD31" s="206">
        <f t="shared" si="7"/>
        <v>97</v>
      </c>
      <c r="BE31" s="132">
        <f t="shared" si="8"/>
        <v>1455</v>
      </c>
      <c r="BF31" s="207">
        <f t="shared" si="9"/>
        <v>14.769230769230774</v>
      </c>
      <c r="BG31" s="208">
        <f t="shared" si="11"/>
        <v>218.13017751479302</v>
      </c>
      <c r="BH31" s="52">
        <f t="shared" si="10"/>
        <v>3271.9526627218952</v>
      </c>
    </row>
    <row r="32" spans="1:60" ht="15.75" thickBot="1">
      <c r="G32" s="16">
        <v>6</v>
      </c>
      <c r="AH32" s="25">
        <v>8.5500000000000007</v>
      </c>
      <c r="AI32" s="36">
        <v>17</v>
      </c>
      <c r="AJ32" s="131">
        <f t="shared" ref="AJ32:AJ37" si="12">AH32*AI32</f>
        <v>145.35000000000002</v>
      </c>
      <c r="AL32" s="176" t="s">
        <v>104</v>
      </c>
      <c r="AM32" s="51">
        <f>AVERAGE(AJ31:AJ37)</f>
        <v>152.5</v>
      </c>
      <c r="BB32" s="199" t="s">
        <v>15</v>
      </c>
      <c r="BC32" s="209">
        <v>130</v>
      </c>
      <c r="BD32" s="7"/>
      <c r="BE32" s="18">
        <f>SUM(BE25:BE31)</f>
        <v>10690</v>
      </c>
      <c r="BH32" s="210">
        <f>SUM(BH25:BH31)</f>
        <v>10293.076923076922</v>
      </c>
    </row>
    <row r="33" spans="1:60">
      <c r="G33" s="16">
        <v>6.5</v>
      </c>
      <c r="AH33" s="25">
        <v>9.56</v>
      </c>
      <c r="AI33" s="36">
        <v>18</v>
      </c>
      <c r="AJ33" s="131">
        <f t="shared" si="12"/>
        <v>172.08</v>
      </c>
      <c r="AL33" s="176" t="s">
        <v>101</v>
      </c>
      <c r="AM33" s="51">
        <f>_xlfn.VAR.P(AJ31:AJ37)</f>
        <v>334.15608571428447</v>
      </c>
    </row>
    <row r="34" spans="1:60" ht="15.75" thickBot="1">
      <c r="G34" s="16">
        <v>6.8</v>
      </c>
      <c r="AH34" s="25">
        <v>10.57</v>
      </c>
      <c r="AI34" s="36">
        <v>14</v>
      </c>
      <c r="AJ34" s="131">
        <f t="shared" si="12"/>
        <v>147.98000000000002</v>
      </c>
      <c r="AL34" s="177" t="s">
        <v>102</v>
      </c>
      <c r="AM34" s="52">
        <f>_xlfn.STDEV.P(AJ31:AJ37)</f>
        <v>18.279936698858791</v>
      </c>
    </row>
    <row r="35" spans="1:60" ht="15.75" thickBot="1">
      <c r="G35" s="16">
        <v>6</v>
      </c>
      <c r="AH35" s="25">
        <v>11.58</v>
      </c>
      <c r="AI35" s="36">
        <v>14</v>
      </c>
      <c r="AJ35" s="131">
        <f t="shared" si="12"/>
        <v>162.12</v>
      </c>
      <c r="BB35" s="250" t="s">
        <v>104</v>
      </c>
      <c r="BC35" s="211">
        <f>BE32/BC32</f>
        <v>82.230769230769226</v>
      </c>
    </row>
    <row r="36" spans="1:60" ht="15.75" thickBot="1">
      <c r="G36" s="16">
        <v>6.1</v>
      </c>
      <c r="AH36" s="25">
        <v>12.59</v>
      </c>
      <c r="AI36" s="36">
        <v>13</v>
      </c>
      <c r="AJ36" s="131">
        <f t="shared" si="12"/>
        <v>163.66999999999999</v>
      </c>
      <c r="BB36" s="251" t="s">
        <v>101</v>
      </c>
      <c r="BC36" s="212">
        <f>BH32/BC32</f>
        <v>79.177514792899402</v>
      </c>
    </row>
    <row r="37" spans="1:60">
      <c r="G37" s="16">
        <v>6.1</v>
      </c>
      <c r="AH37" s="25">
        <v>13.6</v>
      </c>
      <c r="AI37" s="36">
        <v>12</v>
      </c>
      <c r="AJ37" s="131">
        <f t="shared" si="12"/>
        <v>163.19999999999999</v>
      </c>
    </row>
    <row r="38" spans="1:60" ht="15.75" thickBot="1">
      <c r="G38" s="16">
        <v>3.5</v>
      </c>
      <c r="AH38" s="26" t="s">
        <v>15</v>
      </c>
      <c r="AI38" s="132">
        <f>SUM(AI31:AI37)</f>
        <v>103</v>
      </c>
      <c r="AJ38" s="133">
        <f>SUM(AJ31:AJ37)</f>
        <v>1067.5</v>
      </c>
    </row>
    <row r="39" spans="1:60" ht="15.75" thickBot="1">
      <c r="G39" s="16">
        <v>3.8</v>
      </c>
    </row>
    <row r="40" spans="1:60" ht="19.5" thickBot="1">
      <c r="A40" s="230" t="s">
        <v>103</v>
      </c>
      <c r="B40" s="231"/>
      <c r="E40" s="15" t="s">
        <v>15</v>
      </c>
      <c r="G40" s="16">
        <v>3.7</v>
      </c>
    </row>
    <row r="41" spans="1:60" ht="19.5" thickBot="1">
      <c r="A41" s="106" t="s">
        <v>104</v>
      </c>
      <c r="B41" s="160">
        <f>AVERAGE(G28:G107)</f>
        <v>4.1062499999999984</v>
      </c>
      <c r="E41" s="17">
        <f>COUNT(G28:G107)</f>
        <v>80</v>
      </c>
      <c r="G41" s="16">
        <v>4.8</v>
      </c>
      <c r="AG41" t="s">
        <v>123</v>
      </c>
      <c r="AH41" s="182" t="s">
        <v>118</v>
      </c>
      <c r="AI41" s="183" t="s">
        <v>1</v>
      </c>
      <c r="AJ41" s="184" t="s">
        <v>17</v>
      </c>
      <c r="AL41" s="174" t="s">
        <v>121</v>
      </c>
      <c r="AM41" s="175"/>
    </row>
    <row r="42" spans="1:60" ht="15.75" thickBot="1">
      <c r="G42" s="16">
        <v>4.7</v>
      </c>
      <c r="AH42" s="24">
        <v>90.114999999999995</v>
      </c>
      <c r="AI42" s="147">
        <v>7</v>
      </c>
      <c r="AJ42" s="148">
        <f>AH42*AI42</f>
        <v>630.80499999999995</v>
      </c>
      <c r="AL42" s="89" t="s">
        <v>53</v>
      </c>
      <c r="AM42" s="90" t="s">
        <v>52</v>
      </c>
    </row>
    <row r="43" spans="1:60" ht="19.5" customHeight="1" thickBot="1">
      <c r="A43" s="228" t="s">
        <v>99</v>
      </c>
      <c r="B43" s="229"/>
      <c r="G43" s="16">
        <v>1.7</v>
      </c>
      <c r="M43" s="173" t="s">
        <v>57</v>
      </c>
      <c r="N43" s="173" t="s">
        <v>1</v>
      </c>
      <c r="O43" s="173" t="s">
        <v>106</v>
      </c>
      <c r="Q43" s="226" t="s">
        <v>117</v>
      </c>
      <c r="R43" s="227"/>
      <c r="AH43" s="25">
        <v>100.255</v>
      </c>
      <c r="AI43" s="36">
        <v>9</v>
      </c>
      <c r="AJ43" s="131">
        <f t="shared" ref="AJ43:AJ48" si="13">AH43*AI43</f>
        <v>902.29499999999996</v>
      </c>
      <c r="AL43" s="176" t="s">
        <v>104</v>
      </c>
      <c r="AM43" s="51">
        <f>AVERAGE(AJ42:AJ48)</f>
        <v>1228.9321428571427</v>
      </c>
      <c r="BB43" s="247" t="s">
        <v>153</v>
      </c>
      <c r="BC43" s="245" t="s">
        <v>1</v>
      </c>
      <c r="BD43" s="244" t="s">
        <v>135</v>
      </c>
      <c r="BE43" s="244" t="s">
        <v>126</v>
      </c>
      <c r="BF43" s="245" t="s">
        <v>169</v>
      </c>
      <c r="BG43" s="245" t="s">
        <v>151</v>
      </c>
      <c r="BH43" s="246" t="s">
        <v>152</v>
      </c>
    </row>
    <row r="44" spans="1:60">
      <c r="A44" s="106" t="s">
        <v>101</v>
      </c>
      <c r="B44" s="160">
        <f>_xlfn.VAR.P(G28:G107)</f>
        <v>2.3068359375000114</v>
      </c>
      <c r="G44" s="16">
        <v>1.9</v>
      </c>
      <c r="M44" s="166" t="s">
        <v>107</v>
      </c>
      <c r="N44" s="167">
        <v>14</v>
      </c>
      <c r="O44" s="168">
        <f>(VALUE(LEFT(M44,4))+VALUE(RIGHT(M44,4)))/2</f>
        <v>4.9999999999999996E-2</v>
      </c>
      <c r="Q44" s="89" t="s">
        <v>53</v>
      </c>
      <c r="R44" s="90" t="s">
        <v>52</v>
      </c>
      <c r="AH44" s="25">
        <v>110.355</v>
      </c>
      <c r="AI44" s="36">
        <v>12</v>
      </c>
      <c r="AJ44" s="131">
        <f t="shared" si="13"/>
        <v>1324.26</v>
      </c>
      <c r="AL44" s="176" t="s">
        <v>101</v>
      </c>
      <c r="AM44" s="51">
        <f>_xlfn.VAR.P(AJ42:AJ48)</f>
        <v>104746.42962040828</v>
      </c>
      <c r="BB44" s="25" t="s">
        <v>154</v>
      </c>
      <c r="BC44" s="36">
        <v>13</v>
      </c>
      <c r="BD44" s="198">
        <f>(VALUE(LEFT(BB44,5)) + VALUE(RIGHT(BB44,5))) / 2</f>
        <v>35.325000000000003</v>
      </c>
      <c r="BE44" s="36">
        <f>BD44*BC44</f>
        <v>459.22500000000002</v>
      </c>
      <c r="BF44" s="152">
        <f>BD44-BC$54</f>
        <v>26.480843373493979</v>
      </c>
      <c r="BG44" s="205">
        <f>BF44^2</f>
        <v>701.23506577152</v>
      </c>
      <c r="BH44" s="51">
        <f>BC44*(BF44)^2</f>
        <v>9116.0558550297592</v>
      </c>
    </row>
    <row r="45" spans="1:60" ht="15.75" thickBot="1">
      <c r="A45" s="36" t="s">
        <v>102</v>
      </c>
      <c r="B45" s="152">
        <f>_xlfn.STDEV.P(G28:G107)</f>
        <v>1.5188271585338509</v>
      </c>
      <c r="G45" s="16">
        <v>1.4</v>
      </c>
      <c r="M45" s="9" t="s">
        <v>108</v>
      </c>
      <c r="N45" s="165">
        <v>17</v>
      </c>
      <c r="O45" s="169">
        <f t="shared" ref="O45:O53" si="14">(VALUE(LEFT(M45,4))+VALUE(RIGHT(M45,4)))/2</f>
        <v>0.14000000000000001</v>
      </c>
      <c r="Q45" s="176" t="s">
        <v>104</v>
      </c>
      <c r="R45" s="131">
        <f>AVERAGE(O44:O53)</f>
        <v>0.45499999999999996</v>
      </c>
      <c r="AH45" s="25">
        <v>120.455</v>
      </c>
      <c r="AI45" s="36">
        <v>13</v>
      </c>
      <c r="AJ45" s="131">
        <f t="shared" si="13"/>
        <v>1565.915</v>
      </c>
      <c r="AL45" s="177" t="s">
        <v>102</v>
      </c>
      <c r="AM45" s="52">
        <f>_xlfn.STDEV.P(AJ42:AJ48)</f>
        <v>323.64553082100218</v>
      </c>
      <c r="BB45" s="25" t="s">
        <v>155</v>
      </c>
      <c r="BC45" s="36">
        <v>10</v>
      </c>
      <c r="BD45" s="198">
        <f t="shared" ref="BD45:BD50" si="15">(VALUE(LEFT(BB45,5)) + VALUE(RIGHT(BB45,5))) / 2</f>
        <v>1.72</v>
      </c>
      <c r="BE45" s="36">
        <f>BD45*BC45</f>
        <v>17.2</v>
      </c>
      <c r="BF45" s="152">
        <f t="shared" ref="BF45:BF50" si="16">BD45-BC$54</f>
        <v>-7.1241566265060241</v>
      </c>
      <c r="BG45" s="205">
        <f t="shared" ref="BG45:BG50" si="17">BF45^2</f>
        <v>50.753607638989692</v>
      </c>
      <c r="BH45" s="51">
        <f>BC45*(BF45)^2</f>
        <v>507.53607638989695</v>
      </c>
    </row>
    <row r="46" spans="1:60" ht="15.75" thickBot="1">
      <c r="G46" s="16">
        <v>2.2000000000000002</v>
      </c>
      <c r="M46" s="9" t="s">
        <v>109</v>
      </c>
      <c r="N46" s="165">
        <v>22</v>
      </c>
      <c r="O46" s="169">
        <f t="shared" si="14"/>
        <v>0.23</v>
      </c>
      <c r="Q46" s="176" t="s">
        <v>101</v>
      </c>
      <c r="R46" s="178">
        <f>_xlfn.VAR.P(O44:O53)</f>
        <v>6.6825000000000051E-2</v>
      </c>
      <c r="AH46" s="25">
        <v>130.55500000000001</v>
      </c>
      <c r="AI46" s="36">
        <v>12</v>
      </c>
      <c r="AJ46" s="131">
        <f t="shared" si="13"/>
        <v>1566.66</v>
      </c>
      <c r="BB46" s="25" t="s">
        <v>156</v>
      </c>
      <c r="BC46" s="36">
        <v>10</v>
      </c>
      <c r="BD46" s="198">
        <f t="shared" si="15"/>
        <v>5.375</v>
      </c>
      <c r="BE46" s="36">
        <f t="shared" ref="BE46:BE50" si="18">BD46*BC46</f>
        <v>53.75</v>
      </c>
      <c r="BF46" s="152">
        <f t="shared" si="16"/>
        <v>-3.4691566265060239</v>
      </c>
      <c r="BG46" s="205">
        <f>BF46^2</f>
        <v>12.035047699230656</v>
      </c>
      <c r="BH46" s="51">
        <f t="shared" ref="BH46:BH50" si="19">BC46*(BF46)^2</f>
        <v>120.35047699230657</v>
      </c>
    </row>
    <row r="47" spans="1:60" ht="19.5" thickBot="1">
      <c r="A47" s="161" t="s">
        <v>100</v>
      </c>
      <c r="B47" s="162"/>
      <c r="G47" s="16">
        <v>2.2999999999999998</v>
      </c>
      <c r="M47" s="9" t="s">
        <v>110</v>
      </c>
      <c r="N47" s="165">
        <v>25</v>
      </c>
      <c r="O47" s="169">
        <f t="shared" si="14"/>
        <v>0.32</v>
      </c>
      <c r="Q47" s="177" t="s">
        <v>102</v>
      </c>
      <c r="R47" s="179">
        <f>_xlfn.STDEV.P(O44:O53)</f>
        <v>0.25850531909421137</v>
      </c>
      <c r="AH47" s="25">
        <v>140.655</v>
      </c>
      <c r="AI47" s="36">
        <v>10</v>
      </c>
      <c r="AJ47" s="131">
        <f t="shared" si="13"/>
        <v>1406.55</v>
      </c>
      <c r="BB47" s="25" t="s">
        <v>160</v>
      </c>
      <c r="BC47" s="36">
        <v>12</v>
      </c>
      <c r="BD47" s="198">
        <f>(VALUE(LEFT(BB47,5)) + VALUE(RIGHT(BB47,5))) / 2</f>
        <v>1.82</v>
      </c>
      <c r="BE47" s="36">
        <f t="shared" si="18"/>
        <v>21.84</v>
      </c>
      <c r="BF47" s="152">
        <f t="shared" si="16"/>
        <v>-7.0241566265060236</v>
      </c>
      <c r="BG47" s="205">
        <f t="shared" si="17"/>
        <v>49.338776313688484</v>
      </c>
      <c r="BH47" s="51">
        <f t="shared" si="19"/>
        <v>592.06531576426187</v>
      </c>
    </row>
    <row r="48" spans="1:60" ht="15.75" thickBot="1">
      <c r="A48" s="106" t="s">
        <v>101</v>
      </c>
      <c r="B48" s="160">
        <f>_xlfn.VAR.S(G28:G107)</f>
        <v>2.3360363924050747</v>
      </c>
      <c r="G48" s="16">
        <v>2.4</v>
      </c>
      <c r="M48" s="9" t="s">
        <v>111</v>
      </c>
      <c r="N48" s="165">
        <v>27</v>
      </c>
      <c r="O48" s="169">
        <f t="shared" si="14"/>
        <v>0.41000000000000003</v>
      </c>
      <c r="AH48" s="25">
        <v>150.755</v>
      </c>
      <c r="AI48" s="36">
        <v>8</v>
      </c>
      <c r="AJ48" s="131">
        <f t="shared" si="13"/>
        <v>1206.04</v>
      </c>
      <c r="BB48" s="25" t="s">
        <v>157</v>
      </c>
      <c r="BC48" s="36">
        <v>15</v>
      </c>
      <c r="BD48" s="198">
        <f t="shared" si="15"/>
        <v>5.4249999999999998</v>
      </c>
      <c r="BE48" s="36">
        <f t="shared" si="18"/>
        <v>81.375</v>
      </c>
      <c r="BF48" s="152">
        <f t="shared" si="16"/>
        <v>-3.419156626506024</v>
      </c>
      <c r="BG48" s="205">
        <f t="shared" si="17"/>
        <v>11.690632036580055</v>
      </c>
      <c r="BH48" s="51">
        <f t="shared" si="19"/>
        <v>175.35948054870084</v>
      </c>
    </row>
    <row r="49" spans="1:60" ht="19.5" thickBot="1">
      <c r="A49" s="36" t="s">
        <v>102</v>
      </c>
      <c r="B49" s="152">
        <f>_xlfn.STDEV.S(G28:G107)</f>
        <v>1.5284097593266914</v>
      </c>
      <c r="G49" s="16">
        <v>2.7</v>
      </c>
      <c r="M49" s="9" t="s">
        <v>112</v>
      </c>
      <c r="N49" s="165">
        <v>26</v>
      </c>
      <c r="O49" s="169">
        <f t="shared" si="14"/>
        <v>0.5</v>
      </c>
      <c r="Q49" s="226" t="s">
        <v>119</v>
      </c>
      <c r="R49" s="227"/>
      <c r="AH49" s="26" t="s">
        <v>15</v>
      </c>
      <c r="AI49" s="132">
        <f>SUM(AI42:AI48)</f>
        <v>71</v>
      </c>
      <c r="AJ49" s="133">
        <f>SUM(AJ42:AJ48)</f>
        <v>8602.5249999999996</v>
      </c>
      <c r="BB49" s="25" t="s">
        <v>158</v>
      </c>
      <c r="BC49" s="36">
        <v>10</v>
      </c>
      <c r="BD49" s="198">
        <f t="shared" si="15"/>
        <v>2.95</v>
      </c>
      <c r="BE49" s="36">
        <f t="shared" si="18"/>
        <v>29.5</v>
      </c>
      <c r="BF49" s="152">
        <f t="shared" si="16"/>
        <v>-5.8941566265060237</v>
      </c>
      <c r="BG49" s="205">
        <f t="shared" si="17"/>
        <v>34.741082337784867</v>
      </c>
      <c r="BH49" s="51">
        <f t="shared" si="19"/>
        <v>347.41082337784866</v>
      </c>
    </row>
    <row r="50" spans="1:60" ht="15.75" thickBot="1">
      <c r="G50" s="16">
        <v>2.9</v>
      </c>
      <c r="M50" s="9" t="s">
        <v>113</v>
      </c>
      <c r="N50" s="165">
        <v>19</v>
      </c>
      <c r="O50" s="169">
        <f t="shared" si="14"/>
        <v>0.59000000000000008</v>
      </c>
      <c r="Q50" s="89" t="s">
        <v>53</v>
      </c>
      <c r="R50" s="90" t="s">
        <v>52</v>
      </c>
      <c r="BB50" s="26" t="s">
        <v>159</v>
      </c>
      <c r="BC50" s="132">
        <v>13</v>
      </c>
      <c r="BD50" s="206">
        <f t="shared" si="15"/>
        <v>5.4749999999999996</v>
      </c>
      <c r="BE50" s="132">
        <f t="shared" si="18"/>
        <v>71.174999999999997</v>
      </c>
      <c r="BF50" s="152">
        <f t="shared" si="16"/>
        <v>-3.3691566265060242</v>
      </c>
      <c r="BG50" s="208">
        <f t="shared" si="17"/>
        <v>11.351216373929454</v>
      </c>
      <c r="BH50" s="52">
        <f t="shared" si="19"/>
        <v>147.56581286108289</v>
      </c>
    </row>
    <row r="51" spans="1:60" ht="15.75" thickBot="1">
      <c r="G51" s="16">
        <v>2.9</v>
      </c>
      <c r="M51" s="9" t="s">
        <v>114</v>
      </c>
      <c r="N51" s="165">
        <v>15</v>
      </c>
      <c r="O51" s="169">
        <f t="shared" si="14"/>
        <v>0.67999999999999994</v>
      </c>
      <c r="Q51" s="176" t="s">
        <v>104</v>
      </c>
      <c r="R51" s="131">
        <f>AVERAGE(O44:O53)</f>
        <v>0.45499999999999996</v>
      </c>
      <c r="BB51" s="215" t="s">
        <v>15</v>
      </c>
      <c r="BC51" s="18">
        <f>SUM(BC44:BC50)</f>
        <v>83</v>
      </c>
      <c r="BD51" s="7"/>
      <c r="BE51" s="213">
        <f>SUM(BE44:BE50)</f>
        <v>734.06499999999994</v>
      </c>
      <c r="BH51" s="214">
        <f>SUM(BH44:BH50)</f>
        <v>11006.343840963858</v>
      </c>
    </row>
    <row r="52" spans="1:60">
      <c r="G52" s="16">
        <v>2.1</v>
      </c>
      <c r="M52" s="9" t="s">
        <v>115</v>
      </c>
      <c r="N52" s="165">
        <v>13</v>
      </c>
      <c r="O52" s="169">
        <f t="shared" si="14"/>
        <v>0.77</v>
      </c>
      <c r="Q52" s="176" t="s">
        <v>101</v>
      </c>
      <c r="R52" s="178">
        <f>_xlfn.VAR.S(O44:O53)</f>
        <v>7.4250000000000052E-2</v>
      </c>
    </row>
    <row r="53" spans="1:60" ht="15.75" thickBot="1">
      <c r="G53" s="16">
        <v>2.5</v>
      </c>
      <c r="M53" s="170" t="s">
        <v>116</v>
      </c>
      <c r="N53" s="171">
        <v>12</v>
      </c>
      <c r="O53" s="172">
        <f t="shared" si="14"/>
        <v>0.86</v>
      </c>
      <c r="Q53" s="177" t="s">
        <v>102</v>
      </c>
      <c r="R53" s="179">
        <f>_xlfn.STDEV.S(O44:O53)</f>
        <v>0.27248853186877436</v>
      </c>
    </row>
    <row r="54" spans="1:60" ht="15.75" thickBot="1">
      <c r="G54" s="16">
        <v>2.6</v>
      </c>
      <c r="BB54" s="18" t="s">
        <v>104</v>
      </c>
      <c r="BC54" s="211">
        <f>BE51/BC51</f>
        <v>8.8441566265060239</v>
      </c>
    </row>
    <row r="55" spans="1:60" ht="15.75" thickBot="1">
      <c r="G55" s="16">
        <v>3.1</v>
      </c>
      <c r="BB55" s="213" t="s">
        <v>101</v>
      </c>
      <c r="BC55" s="212">
        <f>BH51/BC51</f>
        <v>132.60655230076938</v>
      </c>
    </row>
    <row r="56" spans="1:60">
      <c r="G56" s="16">
        <v>1.7</v>
      </c>
    </row>
    <row r="57" spans="1:60">
      <c r="G57" s="16">
        <v>1.2</v>
      </c>
    </row>
    <row r="58" spans="1:60">
      <c r="G58" s="16">
        <v>1.5</v>
      </c>
    </row>
    <row r="59" spans="1:60">
      <c r="G59" s="16">
        <v>1.9</v>
      </c>
    </row>
    <row r="60" spans="1:60">
      <c r="G60" s="16">
        <v>1.6</v>
      </c>
    </row>
    <row r="61" spans="1:60">
      <c r="G61" s="16">
        <v>3.3</v>
      </c>
    </row>
    <row r="62" spans="1:60" ht="15.75" thickBot="1">
      <c r="G62" s="16">
        <v>3.4</v>
      </c>
    </row>
    <row r="63" spans="1:60">
      <c r="G63" s="16">
        <v>3.5</v>
      </c>
      <c r="BB63" s="247" t="s">
        <v>161</v>
      </c>
      <c r="BC63" s="245" t="s">
        <v>1</v>
      </c>
      <c r="BD63" s="244" t="s">
        <v>135</v>
      </c>
      <c r="BE63" s="244" t="s">
        <v>126</v>
      </c>
      <c r="BF63" s="245" t="s">
        <v>150</v>
      </c>
      <c r="BG63" s="245" t="s">
        <v>151</v>
      </c>
      <c r="BH63" s="246" t="s">
        <v>152</v>
      </c>
    </row>
    <row r="64" spans="1:60">
      <c r="G64" s="16">
        <v>3.6</v>
      </c>
      <c r="BB64" s="25" t="s">
        <v>162</v>
      </c>
      <c r="BC64" s="36">
        <v>7</v>
      </c>
      <c r="BD64" s="198">
        <f>(VALUE(LEFT(BB64,5)) + VALUE(RIGHT(BB64,5))) / 2</f>
        <v>21.774999999999999</v>
      </c>
      <c r="BE64" s="36">
        <f>BD64*BC64</f>
        <v>152.42499999999998</v>
      </c>
      <c r="BF64" s="152">
        <f>BD64-BC$74</f>
        <v>-3.8730519480519519</v>
      </c>
      <c r="BG64" s="205">
        <f>BF64^2</f>
        <v>15.00053139230902</v>
      </c>
      <c r="BH64" s="51">
        <f>BC64*(BF64)^2</f>
        <v>105.00371974616314</v>
      </c>
    </row>
    <row r="65" spans="7:60">
      <c r="G65" s="16">
        <v>3.6</v>
      </c>
      <c r="BB65" s="25" t="s">
        <v>163</v>
      </c>
      <c r="BC65" s="36">
        <v>12</v>
      </c>
      <c r="BD65" s="198">
        <f t="shared" ref="BD65:BD66" si="20">(VALUE(LEFT(BB65,5)) + VALUE(RIGHT(BB65,5))) / 2</f>
        <v>24.8</v>
      </c>
      <c r="BE65" s="36">
        <f>BD65*BC65</f>
        <v>297.60000000000002</v>
      </c>
      <c r="BF65" s="152">
        <f t="shared" ref="BF65:BF70" si="21">BD65-BC$74</f>
        <v>-0.84805194805194972</v>
      </c>
      <c r="BG65" s="205">
        <f t="shared" ref="BG65:BG70" si="22">BF65^2</f>
        <v>0.71919210659470678</v>
      </c>
      <c r="BH65" s="51">
        <f t="shared" ref="BH65:BH70" si="23">BC65*(BF65)^2</f>
        <v>8.6303052791364809</v>
      </c>
    </row>
    <row r="66" spans="7:60">
      <c r="G66" s="16">
        <v>3.6</v>
      </c>
      <c r="BB66" s="25" t="s">
        <v>164</v>
      </c>
      <c r="BC66" s="36">
        <v>13</v>
      </c>
      <c r="BD66" s="198">
        <f t="shared" si="20"/>
        <v>25.824999999999999</v>
      </c>
      <c r="BE66" s="36">
        <f t="shared" ref="BE66:BE70" si="24">BD66*BC66</f>
        <v>335.72499999999997</v>
      </c>
      <c r="BF66" s="152">
        <f t="shared" si="21"/>
        <v>0.17694805194804886</v>
      </c>
      <c r="BG66" s="205">
        <f>BF66^2</f>
        <v>3.1310613088209399E-2</v>
      </c>
      <c r="BH66" s="51">
        <f>BC66*(BF66)^2</f>
        <v>0.40703797014672216</v>
      </c>
    </row>
    <row r="67" spans="7:60">
      <c r="G67" s="16">
        <v>3.8</v>
      </c>
      <c r="BB67" s="25" t="s">
        <v>165</v>
      </c>
      <c r="BC67" s="36">
        <v>15</v>
      </c>
      <c r="BD67" s="198">
        <f>(VALUE(LEFT(BB67,5)) + VALUE(RIGHT(BB67,5))) / 2</f>
        <v>27.35</v>
      </c>
      <c r="BE67" s="36">
        <f>BD67*BC67</f>
        <v>410.25</v>
      </c>
      <c r="BF67" s="152">
        <f t="shared" si="21"/>
        <v>1.701948051948051</v>
      </c>
      <c r="BG67" s="205">
        <f t="shared" si="22"/>
        <v>2.8966271715297656</v>
      </c>
      <c r="BH67" s="51">
        <f t="shared" si="23"/>
        <v>43.449407572946484</v>
      </c>
    </row>
    <row r="68" spans="7:60">
      <c r="G68" s="16">
        <v>3.9</v>
      </c>
      <c r="BB68" s="25" t="s">
        <v>166</v>
      </c>
      <c r="BC68" s="36">
        <v>12</v>
      </c>
      <c r="BD68" s="198">
        <f>(VALUE(LEFT(BB68,5)) + VALUE(RIGHT(BB68,5))) / 2</f>
        <v>26.375</v>
      </c>
      <c r="BE68" s="36">
        <f t="shared" si="24"/>
        <v>316.5</v>
      </c>
      <c r="BF68" s="152">
        <f t="shared" si="21"/>
        <v>0.72694805194804957</v>
      </c>
      <c r="BG68" s="205">
        <f t="shared" si="22"/>
        <v>0.52845347023106415</v>
      </c>
      <c r="BH68" s="51">
        <f t="shared" si="23"/>
        <v>6.3414416427727698</v>
      </c>
    </row>
    <row r="69" spans="7:60">
      <c r="G69" s="16">
        <v>3.8</v>
      </c>
      <c r="BB69" s="25" t="s">
        <v>167</v>
      </c>
      <c r="BC69" s="36">
        <v>10</v>
      </c>
      <c r="BD69" s="198">
        <f t="shared" ref="BD69:BD70" si="25">(VALUE(LEFT(BB69,5)) + VALUE(RIGHT(BB69,5))) / 2</f>
        <v>25.9</v>
      </c>
      <c r="BE69" s="36">
        <f t="shared" si="24"/>
        <v>259</v>
      </c>
      <c r="BF69" s="152">
        <f t="shared" si="21"/>
        <v>0.25194805194804815</v>
      </c>
      <c r="BG69" s="205">
        <f t="shared" si="22"/>
        <v>6.3477820880416369E-2</v>
      </c>
      <c r="BH69" s="51">
        <f t="shared" si="23"/>
        <v>0.63477820880416369</v>
      </c>
    </row>
    <row r="70" spans="7:60" ht="15.75" thickBot="1">
      <c r="G70" s="16">
        <v>4.0999999999999996</v>
      </c>
      <c r="BB70" s="26" t="s">
        <v>168</v>
      </c>
      <c r="BC70" s="132">
        <v>8</v>
      </c>
      <c r="BD70" s="206">
        <f t="shared" si="25"/>
        <v>25.425000000000001</v>
      </c>
      <c r="BE70" s="132">
        <f t="shared" si="24"/>
        <v>203.4</v>
      </c>
      <c r="BF70" s="152">
        <f t="shared" si="21"/>
        <v>-0.22305194805194972</v>
      </c>
      <c r="BG70" s="208">
        <f t="shared" si="22"/>
        <v>4.9752171529769677E-2</v>
      </c>
      <c r="BH70" s="52">
        <f t="shared" si="23"/>
        <v>0.39801737223815742</v>
      </c>
    </row>
    <row r="71" spans="7:60" ht="15.75" thickBot="1">
      <c r="G71" s="16">
        <v>4.5</v>
      </c>
      <c r="BB71" s="215" t="s">
        <v>15</v>
      </c>
      <c r="BC71" s="18">
        <f>SUM(BC64:BC70)</f>
        <v>77</v>
      </c>
      <c r="BD71" s="7"/>
      <c r="BE71" s="213">
        <f>SUM(BE64:BE70)</f>
        <v>1974.9</v>
      </c>
      <c r="BH71" s="214">
        <f>SUM(BH64:BH70)</f>
        <v>164.86470779220789</v>
      </c>
    </row>
    <row r="72" spans="7:60">
      <c r="G72" s="16">
        <v>4.7</v>
      </c>
    </row>
    <row r="73" spans="7:60" ht="15.75" thickBot="1">
      <c r="G73" s="16">
        <v>4.3</v>
      </c>
    </row>
    <row r="74" spans="7:60" ht="15.75" thickBot="1">
      <c r="G74" s="16">
        <v>4.2</v>
      </c>
      <c r="BB74" s="250" t="s">
        <v>104</v>
      </c>
      <c r="BC74" s="211">
        <f>BE71/BC71</f>
        <v>25.64805194805195</v>
      </c>
    </row>
    <row r="75" spans="7:60" ht="15.75" thickBot="1">
      <c r="G75" s="16">
        <v>4.9000000000000004</v>
      </c>
      <c r="BB75" s="251" t="s">
        <v>101</v>
      </c>
      <c r="BC75" s="212">
        <f>BH71/BC71</f>
        <v>2.1411001011975053</v>
      </c>
    </row>
    <row r="76" spans="7:60">
      <c r="G76" s="16">
        <v>5.2</v>
      </c>
    </row>
    <row r="77" spans="7:60">
      <c r="G77" s="16">
        <v>5.0999999999999996</v>
      </c>
    </row>
    <row r="78" spans="7:60">
      <c r="G78" s="16">
        <v>5.0999999999999996</v>
      </c>
    </row>
    <row r="79" spans="7:60">
      <c r="G79" s="16">
        <v>5.7</v>
      </c>
    </row>
    <row r="80" spans="7:60">
      <c r="G80" s="16">
        <v>5.9</v>
      </c>
    </row>
    <row r="81" spans="7:7">
      <c r="G81" s="16">
        <v>5.7</v>
      </c>
    </row>
    <row r="82" spans="7:7">
      <c r="G82" s="16">
        <v>5.4</v>
      </c>
    </row>
    <row r="83" spans="7:7">
      <c r="G83" s="16">
        <v>5.5</v>
      </c>
    </row>
    <row r="84" spans="7:7">
      <c r="G84" s="16">
        <v>5.8</v>
      </c>
    </row>
    <row r="85" spans="7:7">
      <c r="G85" s="16">
        <v>5.9</v>
      </c>
    </row>
    <row r="86" spans="7:7">
      <c r="G86" s="16">
        <v>5.9</v>
      </c>
    </row>
    <row r="87" spans="7:7">
      <c r="G87" s="16">
        <v>5.7</v>
      </c>
    </row>
    <row r="88" spans="7:7">
      <c r="G88" s="16">
        <v>6.1</v>
      </c>
    </row>
    <row r="89" spans="7:7">
      <c r="G89" s="16">
        <v>6.2</v>
      </c>
    </row>
    <row r="90" spans="7:7">
      <c r="G90" s="16">
        <v>6</v>
      </c>
    </row>
    <row r="91" spans="7:7">
      <c r="G91" s="16">
        <v>6</v>
      </c>
    </row>
    <row r="92" spans="7:7">
      <c r="G92" s="16">
        <v>5.2</v>
      </c>
    </row>
    <row r="93" spans="7:7">
      <c r="G93" s="16">
        <v>5.3</v>
      </c>
    </row>
    <row r="94" spans="7:7">
      <c r="G94" s="16">
        <v>5.5</v>
      </c>
    </row>
    <row r="95" spans="7:7">
      <c r="G95" s="16">
        <v>5.5</v>
      </c>
    </row>
    <row r="96" spans="7:7">
      <c r="G96" s="16">
        <v>4.7</v>
      </c>
    </row>
    <row r="97" spans="7:7">
      <c r="G97" s="16">
        <v>3.7</v>
      </c>
    </row>
    <row r="98" spans="7:7">
      <c r="G98" s="16">
        <v>3.7</v>
      </c>
    </row>
    <row r="99" spans="7:7">
      <c r="G99" s="16">
        <v>3.7</v>
      </c>
    </row>
    <row r="100" spans="7:7">
      <c r="G100" s="16">
        <v>4.4000000000000004</v>
      </c>
    </row>
    <row r="101" spans="7:7">
      <c r="G101" s="16">
        <v>4.4000000000000004</v>
      </c>
    </row>
    <row r="102" spans="7:7">
      <c r="G102" s="16">
        <v>6.1</v>
      </c>
    </row>
    <row r="103" spans="7:7">
      <c r="G103" s="16">
        <v>4.9000000000000004</v>
      </c>
    </row>
    <row r="104" spans="7:7">
      <c r="G104" s="16">
        <v>1.7</v>
      </c>
    </row>
    <row r="105" spans="7:7">
      <c r="G105" s="16">
        <v>1.6</v>
      </c>
    </row>
    <row r="106" spans="7:7">
      <c r="G106" s="16">
        <v>3.7</v>
      </c>
    </row>
    <row r="107" spans="7:7" ht="15.75" thickBot="1">
      <c r="G107" s="17">
        <v>2.5</v>
      </c>
    </row>
  </sheetData>
  <mergeCells count="12">
    <mergeCell ref="Q49:R49"/>
    <mergeCell ref="AL1:AM1"/>
    <mergeCell ref="A43:B43"/>
    <mergeCell ref="A40:B40"/>
    <mergeCell ref="K13:K14"/>
    <mergeCell ref="L13:L14"/>
    <mergeCell ref="Q43:R43"/>
    <mergeCell ref="A10:A11"/>
    <mergeCell ref="B10:B11"/>
    <mergeCell ref="A17:A19"/>
    <mergeCell ref="B17:B19"/>
    <mergeCell ref="AL12:A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 M, Mo, Me</vt:lpstr>
      <vt:lpstr>MEDIDAS DE POSICION</vt:lpstr>
      <vt:lpstr>MEDIDAS DE DIPERSION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Alejandro V</dc:creator>
  <cp:lastModifiedBy>Kener Cartagena</cp:lastModifiedBy>
  <dcterms:created xsi:type="dcterms:W3CDTF">2025-10-22T01:52:59Z</dcterms:created>
  <dcterms:modified xsi:type="dcterms:W3CDTF">2025-11-16T01:59:16Z</dcterms:modified>
</cp:coreProperties>
</file>