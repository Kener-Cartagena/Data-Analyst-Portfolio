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er\Desktop\UNICAH\ESTADÍSTICA I\II Partial\"/>
    </mc:Choice>
  </mc:AlternateContent>
  <xr:revisionPtr revIDLastSave="0" documentId="13_ncr:1_{B403CBE4-C372-4E8F-A5CF-39A2AEC59086}" xr6:coauthVersionLast="47" xr6:coauthVersionMax="47" xr10:uidLastSave="{00000000-0000-0000-0000-000000000000}"/>
  <bookViews>
    <workbookView xWindow="-120" yWindow="-120" windowWidth="19440" windowHeight="11040" activeTab="2" xr2:uid="{D5D8A091-7714-45B2-A36A-A09494D482C9}"/>
  </bookViews>
  <sheets>
    <sheet name="Data" sheetId="3" r:id="rId1"/>
    <sheet name="Parte 1" sheetId="4" r:id="rId2"/>
    <sheet name="Parte 2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6" l="1"/>
  <c r="B12" i="6"/>
  <c r="B6" i="6"/>
  <c r="B2" i="6"/>
  <c r="L70" i="4"/>
  <c r="L71" i="4"/>
  <c r="L72" i="4"/>
  <c r="L73" i="4"/>
  <c r="L74" i="4"/>
  <c r="L75" i="4"/>
  <c r="L76" i="4"/>
  <c r="L77" i="4"/>
  <c r="L69" i="4"/>
  <c r="K70" i="4"/>
  <c r="K71" i="4"/>
  <c r="K72" i="4"/>
  <c r="K73" i="4"/>
  <c r="K74" i="4"/>
  <c r="K75" i="4"/>
  <c r="K76" i="4"/>
  <c r="K77" i="4"/>
  <c r="K69" i="4"/>
  <c r="J70" i="4"/>
  <c r="J71" i="4"/>
  <c r="J72" i="4"/>
  <c r="J73" i="4"/>
  <c r="J74" i="4"/>
  <c r="J75" i="4"/>
  <c r="J76" i="4"/>
  <c r="J77" i="4"/>
  <c r="J69" i="4"/>
  <c r="I70" i="4"/>
  <c r="I71" i="4"/>
  <c r="I72" i="4"/>
  <c r="I73" i="4"/>
  <c r="I74" i="4"/>
  <c r="I75" i="4"/>
  <c r="I76" i="4"/>
  <c r="I77" i="4"/>
  <c r="I69" i="4"/>
  <c r="H70" i="4"/>
  <c r="H71" i="4"/>
  <c r="H72" i="4"/>
  <c r="H73" i="4"/>
  <c r="H74" i="4"/>
  <c r="H75" i="4"/>
  <c r="H76" i="4"/>
  <c r="H77" i="4"/>
  <c r="H69" i="4"/>
  <c r="G70" i="4"/>
  <c r="G71" i="4"/>
  <c r="G72" i="4"/>
  <c r="G73" i="4"/>
  <c r="G74" i="4"/>
  <c r="G75" i="4"/>
  <c r="G76" i="4"/>
  <c r="G77" i="4"/>
  <c r="G69" i="4"/>
  <c r="C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R70" i="4"/>
  <c r="E70" i="4"/>
  <c r="D70" i="4"/>
  <c r="R69" i="4"/>
  <c r="F69" i="4"/>
  <c r="F70" i="4" s="1"/>
  <c r="F71" i="4" s="1"/>
  <c r="F72" i="4" s="1"/>
  <c r="F73" i="4" s="1"/>
  <c r="F74" i="4" s="1"/>
  <c r="E69" i="4"/>
  <c r="D69" i="4"/>
  <c r="E48" i="4"/>
  <c r="D48" i="4"/>
  <c r="C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R49" i="4"/>
  <c r="E49" i="4"/>
  <c r="D49" i="4"/>
  <c r="R48" i="4"/>
  <c r="F48" i="4"/>
  <c r="F49" i="4" s="1"/>
  <c r="R27" i="4"/>
  <c r="R26" i="4"/>
  <c r="E28" i="4"/>
  <c r="D28" i="4"/>
  <c r="C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7" i="4"/>
  <c r="D27" i="4"/>
  <c r="F26" i="4"/>
  <c r="F27" i="4" s="1"/>
  <c r="F28" i="4" s="1"/>
  <c r="F29" i="4" s="1"/>
  <c r="E26" i="4"/>
  <c r="D26" i="4"/>
  <c r="R4" i="4"/>
  <c r="R3" i="4"/>
  <c r="C14" i="4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E4" i="4"/>
  <c r="E5" i="4"/>
  <c r="E6" i="4"/>
  <c r="E7" i="4"/>
  <c r="E8" i="4"/>
  <c r="E9" i="4"/>
  <c r="E10" i="4"/>
  <c r="E11" i="4"/>
  <c r="E12" i="4"/>
  <c r="E13" i="4"/>
  <c r="E3" i="4"/>
  <c r="D4" i="4"/>
  <c r="D5" i="4"/>
  <c r="D6" i="4"/>
  <c r="D7" i="4"/>
  <c r="D8" i="4"/>
  <c r="D9" i="4"/>
  <c r="D10" i="4"/>
  <c r="D11" i="4"/>
  <c r="D12" i="4"/>
  <c r="D13" i="4"/>
  <c r="D3" i="4"/>
  <c r="S20" i="3"/>
  <c r="O17" i="3"/>
  <c r="D78" i="4" l="1"/>
  <c r="O69" i="4" s="1"/>
  <c r="E78" i="4"/>
  <c r="O70" i="4" s="1"/>
  <c r="F50" i="4"/>
  <c r="F51" i="4" s="1"/>
  <c r="F52" i="4" s="1"/>
  <c r="F53" i="4" s="1"/>
  <c r="F75" i="4"/>
  <c r="F76" i="4" s="1"/>
  <c r="F77" i="4" s="1"/>
  <c r="U70" i="4"/>
  <c r="D57" i="4"/>
  <c r="O48" i="4" s="1"/>
  <c r="D36" i="4"/>
  <c r="O26" i="4" s="1"/>
  <c r="E57" i="4"/>
  <c r="O49" i="4" s="1"/>
  <c r="U3" i="4"/>
  <c r="F30" i="4"/>
  <c r="F54" i="4"/>
  <c r="F55" i="4" s="1"/>
  <c r="F56" i="4" s="1"/>
  <c r="E36" i="4"/>
  <c r="O27" i="4" s="1"/>
  <c r="U27" i="4"/>
  <c r="U4" i="4"/>
  <c r="E14" i="4"/>
  <c r="O4" i="4" s="1"/>
  <c r="D14" i="4"/>
  <c r="O3" i="4" s="1"/>
  <c r="K18" i="3"/>
  <c r="G18" i="3"/>
  <c r="C19" i="3"/>
  <c r="L51" i="4" l="1"/>
  <c r="J48" i="4"/>
  <c r="L52" i="4"/>
  <c r="L48" i="4"/>
  <c r="K55" i="4"/>
  <c r="L53" i="4"/>
  <c r="K52" i="4"/>
  <c r="J51" i="4"/>
  <c r="L54" i="4"/>
  <c r="K53" i="4"/>
  <c r="J52" i="4"/>
  <c r="L56" i="4"/>
  <c r="L49" i="4"/>
  <c r="L55" i="4"/>
  <c r="K54" i="4"/>
  <c r="J53" i="4"/>
  <c r="J54" i="4"/>
  <c r="J55" i="4"/>
  <c r="L50" i="4"/>
  <c r="K49" i="4"/>
  <c r="K48" i="4"/>
  <c r="J56" i="4"/>
  <c r="K50" i="4"/>
  <c r="J49" i="4"/>
  <c r="K51" i="4"/>
  <c r="J50" i="4"/>
  <c r="K56" i="4"/>
  <c r="I49" i="4"/>
  <c r="H56" i="4"/>
  <c r="G51" i="4"/>
  <c r="I54" i="4"/>
  <c r="I50" i="4"/>
  <c r="H49" i="4"/>
  <c r="H48" i="4"/>
  <c r="G56" i="4"/>
  <c r="I51" i="4"/>
  <c r="H50" i="4"/>
  <c r="G49" i="4"/>
  <c r="G48" i="4"/>
  <c r="G52" i="4"/>
  <c r="H52" i="4"/>
  <c r="H53" i="4"/>
  <c r="I52" i="4"/>
  <c r="H51" i="4"/>
  <c r="G50" i="4"/>
  <c r="I55" i="4"/>
  <c r="H54" i="4"/>
  <c r="G53" i="4"/>
  <c r="I56" i="4"/>
  <c r="H55" i="4"/>
  <c r="G54" i="4"/>
  <c r="I48" i="4"/>
  <c r="G55" i="4"/>
  <c r="I53" i="4"/>
  <c r="U69" i="4"/>
  <c r="F31" i="4"/>
  <c r="F32" i="4" s="1"/>
  <c r="F33" i="4" s="1"/>
  <c r="F34" i="4" s="1"/>
  <c r="F35" i="4" s="1"/>
  <c r="U26" i="4"/>
  <c r="K30" i="4"/>
  <c r="J27" i="4"/>
  <c r="J28" i="4"/>
  <c r="K31" i="4"/>
  <c r="K32" i="4"/>
  <c r="J34" i="4"/>
  <c r="J29" i="4"/>
  <c r="J30" i="4"/>
  <c r="L26" i="4"/>
  <c r="J32" i="4"/>
  <c r="J35" i="4"/>
  <c r="K33" i="4"/>
  <c r="J31" i="4"/>
  <c r="K34" i="4"/>
  <c r="K26" i="4"/>
  <c r="K29" i="4"/>
  <c r="K27" i="4"/>
  <c r="K35" i="4"/>
  <c r="J33" i="4"/>
  <c r="K28" i="4"/>
  <c r="J26" i="4"/>
  <c r="H34" i="4"/>
  <c r="G35" i="4"/>
  <c r="H26" i="4"/>
  <c r="G26" i="4"/>
  <c r="H28" i="4"/>
  <c r="G27" i="4"/>
  <c r="G31" i="4"/>
  <c r="H35" i="4"/>
  <c r="H27" i="4"/>
  <c r="G29" i="4"/>
  <c r="H29" i="4"/>
  <c r="G30" i="4"/>
  <c r="G28" i="4"/>
  <c r="H30" i="4"/>
  <c r="G33" i="4"/>
  <c r="H33" i="4"/>
  <c r="G34" i="4"/>
  <c r="H31" i="4"/>
  <c r="G32" i="4"/>
  <c r="H32" i="4"/>
  <c r="U48" i="4"/>
  <c r="U49" i="4"/>
  <c r="I11" i="4"/>
  <c r="H9" i="4"/>
  <c r="G3" i="4"/>
  <c r="I4" i="4"/>
  <c r="H10" i="4"/>
  <c r="I26" i="4"/>
  <c r="I10" i="4"/>
  <c r="I12" i="4"/>
  <c r="I35" i="4"/>
  <c r="I32" i="4"/>
  <c r="I30" i="4"/>
  <c r="H5" i="4"/>
  <c r="H8" i="4"/>
  <c r="I5" i="4"/>
  <c r="I13" i="4"/>
  <c r="H11" i="4"/>
  <c r="I6" i="4"/>
  <c r="H12" i="4"/>
  <c r="I34" i="4"/>
  <c r="I31" i="4"/>
  <c r="I29" i="4"/>
  <c r="I7" i="4"/>
  <c r="H13" i="4"/>
  <c r="I3" i="4"/>
  <c r="H4" i="4"/>
  <c r="I33" i="4"/>
  <c r="I28" i="4"/>
  <c r="I27" i="4"/>
  <c r="I8" i="4"/>
  <c r="H6" i="4"/>
  <c r="H3" i="4"/>
  <c r="I9" i="4"/>
  <c r="H7" i="4"/>
  <c r="L4" i="4"/>
  <c r="L12" i="4"/>
  <c r="K7" i="4"/>
  <c r="J3" i="4"/>
  <c r="J6" i="4"/>
  <c r="L13" i="4"/>
  <c r="J7" i="4"/>
  <c r="L35" i="4"/>
  <c r="L34" i="4"/>
  <c r="L33" i="4"/>
  <c r="L32" i="4"/>
  <c r="L31" i="4"/>
  <c r="L30" i="4"/>
  <c r="L29" i="4"/>
  <c r="L28" i="4"/>
  <c r="L5" i="4"/>
  <c r="K8" i="4"/>
  <c r="L8" i="4"/>
  <c r="K11" i="4"/>
  <c r="J10" i="4"/>
  <c r="L11" i="4"/>
  <c r="L27" i="4"/>
  <c r="L6" i="4"/>
  <c r="L3" i="4"/>
  <c r="K9" i="4"/>
  <c r="J8" i="4"/>
  <c r="L7" i="4"/>
  <c r="K10" i="4"/>
  <c r="J4" i="4"/>
  <c r="K6" i="4"/>
  <c r="J5" i="4"/>
  <c r="J9" i="4"/>
  <c r="K3" i="4"/>
  <c r="L9" i="4"/>
  <c r="K4" i="4"/>
  <c r="K12" i="4"/>
  <c r="J11" i="4"/>
  <c r="L10" i="4"/>
  <c r="K5" i="4"/>
  <c r="K13" i="4"/>
  <c r="J12" i="4"/>
  <c r="J13" i="4"/>
  <c r="G13" i="4"/>
  <c r="G6" i="4"/>
  <c r="G7" i="4"/>
  <c r="G8" i="4"/>
  <c r="G5" i="4"/>
  <c r="G9" i="4"/>
  <c r="G10" i="4"/>
  <c r="G11" i="4"/>
  <c r="G4" i="4"/>
  <c r="G12" i="4"/>
  <c r="I78" i="4" l="1"/>
  <c r="L78" i="4"/>
  <c r="I57" i="4"/>
  <c r="L57" i="4"/>
  <c r="V53" i="4" s="1"/>
  <c r="I36" i="4"/>
  <c r="L14" i="4"/>
  <c r="L36" i="4"/>
  <c r="V31" i="4" s="1"/>
  <c r="I14" i="4"/>
  <c r="R8" i="4" s="1"/>
  <c r="W74" i="4" l="1"/>
  <c r="W75" i="4" s="1"/>
  <c r="V74" i="4"/>
  <c r="V75" i="4" s="1"/>
  <c r="R74" i="4"/>
  <c r="R75" i="4" s="1"/>
  <c r="S74" i="4"/>
  <c r="S75" i="4" s="1"/>
  <c r="R31" i="4"/>
  <c r="R32" i="4" s="1"/>
  <c r="S31" i="4"/>
  <c r="S32" i="4" s="1"/>
  <c r="V54" i="4"/>
  <c r="W53" i="4"/>
  <c r="W54" i="4" s="1"/>
  <c r="S53" i="4"/>
  <c r="S54" i="4" s="1"/>
  <c r="R53" i="4"/>
  <c r="R54" i="4" s="1"/>
  <c r="W31" i="4"/>
  <c r="W32" i="4" s="1"/>
  <c r="V32" i="4"/>
  <c r="W8" i="4"/>
  <c r="W9" i="4" s="1"/>
  <c r="V8" i="4"/>
  <c r="V9" i="4" s="1"/>
  <c r="R9" i="4"/>
  <c r="S8" i="4"/>
  <c r="S9" i="4" s="1"/>
</calcChain>
</file>

<file path=xl/sharedStrings.xml><?xml version="1.0" encoding="utf-8"?>
<sst xmlns="http://schemas.openxmlformats.org/spreadsheetml/2006/main" count="238" uniqueCount="55">
  <si>
    <t>X</t>
  </si>
  <si>
    <t>F</t>
  </si>
  <si>
    <t>TOTAL</t>
  </si>
  <si>
    <t>Y</t>
  </si>
  <si>
    <t>EJERCICIO #1</t>
  </si>
  <si>
    <t>EJERCICIO #2</t>
  </si>
  <si>
    <t>EJERCICIO #3</t>
  </si>
  <si>
    <t>EJERCICIO #4</t>
  </si>
  <si>
    <t>EJERCICIO #5</t>
  </si>
  <si>
    <t>1. PARA CADA UNA DE LAS SIGUIENTES TABLAS DETERMINE:</t>
  </si>
  <si>
    <t>1.1) LA MEDIA, MODA Y MEDIA DE LOS SIGUIENTES EJERCICIOS</t>
  </si>
  <si>
    <t>1.2) PARA CADA UNA DE LAS TALAS DADAS ENCUENTRE:  Q1, Q3 D6, D8, P35, P85</t>
  </si>
  <si>
    <t>1.3) PARA CADA UNA DE LAS TABLAS DADAS ENCUENTRE: LA DESVIACION ESTANDAR Y LA VARIANZA TANTO COMO MUESTRA Y COMO POBLACION</t>
  </si>
  <si>
    <t>2. EJERCICIOS DE PROBABILIDADES</t>
  </si>
  <si>
    <t>2.1) Si lanzamos un dado, ¿cuál es la probabilidad de obtener un número mayor que 4?</t>
  </si>
  <si>
    <t>2.2) Un restaurante tiene 13 personas: 9 clientes y 4 camareros. Si elegimos una persona al azar del lugar, ¿cuál es la probabilidad de que sea un cliente?</t>
  </si>
  <si>
    <t>2.3) Si en un salón de clases hay 8 alumnas de sexo femenino y 7 alumnos de sexo masculino, y la profesora elige al azar a un estudiante para resolver un ejercicio en el pizarrón, ¿cuál es la probabilidad de que se seleccione a una alumna?</t>
  </si>
  <si>
    <t>2.4) ¿Cuál es la probabilidad de elegir una carta en un mazo de barajas y que esta carta no sea un as?</t>
  </si>
  <si>
    <t>f·x</t>
  </si>
  <si>
    <t>f·y</t>
  </si>
  <si>
    <t>F (acumulada)</t>
  </si>
  <si>
    <t>MEDIA</t>
  </si>
  <si>
    <t>x</t>
  </si>
  <si>
    <t>y</t>
  </si>
  <si>
    <t>MODA</t>
  </si>
  <si>
    <t>MEDIANA</t>
  </si>
  <si>
    <t xml:space="preserve">y </t>
  </si>
  <si>
    <t>Q1 x</t>
  </si>
  <si>
    <t>Q1 y</t>
  </si>
  <si>
    <t>53.53​</t>
  </si>
  <si>
    <t>Q3 x</t>
  </si>
  <si>
    <t>Q3 y</t>
  </si>
  <si>
    <t>D6 x</t>
  </si>
  <si>
    <t xml:space="preserve"> </t>
  </si>
  <si>
    <t>D6 y</t>
  </si>
  <si>
    <t>D8 x</t>
  </si>
  <si>
    <t>D8 y</t>
  </si>
  <si>
    <t>P35 x</t>
  </si>
  <si>
    <t>P35 y</t>
  </si>
  <si>
    <t>P85 x</t>
  </si>
  <si>
    <t>P85 y</t>
  </si>
  <si>
    <t>x*(x*M)^2</t>
  </si>
  <si>
    <t>x-M</t>
  </si>
  <si>
    <t>(x*M)^2</t>
  </si>
  <si>
    <t>Medida</t>
  </si>
  <si>
    <t>Poblacional</t>
  </si>
  <si>
    <t>Muestral</t>
  </si>
  <si>
    <t>Varianza</t>
  </si>
  <si>
    <t>Desviación estándar</t>
  </si>
  <si>
    <t>Y-M</t>
  </si>
  <si>
    <t>(Y*M)^2</t>
  </si>
  <si>
    <t>Y*(Y*M)^2</t>
  </si>
  <si>
    <t>2.1) Probabilidad de número mayor que 4</t>
  </si>
  <si>
    <t>Resultado</t>
  </si>
  <si>
    <t>2.3) Si en un salón de clases hay 8 alumnas de sexo femenino y 7 alumnos de sexo masculino, y la profesora elige al azar a un estudiante para resolver un 
ejercicio en el pizarrón, ¿cuál es la probabilidad de que se seleccione a una alumna?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</si>
</sst>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/>
    <xf numFmtId="0" fontId="0" fillId="2" borderId="1" xfId="0" applyFill="1" applyBorder="1"/>
    <xf numFmtId="43" fontId="0" fillId="0" borderId="1" xfId="0" applyNumberFormat="1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4" borderId="0" xfId="0" applyFill="1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8" xfId="0" applyFill="1" applyBorder="1"/>
    <xf numFmtId="43" fontId="0" fillId="0" borderId="12" xfId="0" applyNumberFormat="1" applyBorder="1"/>
    <xf numFmtId="0" fontId="0" fillId="0" borderId="9" xfId="0" applyBorder="1"/>
    <xf numFmtId="43" fontId="0" fillId="0" borderId="13" xfId="0" applyNumberFormat="1" applyBorder="1"/>
    <xf numFmtId="0" fontId="0" fillId="0" borderId="8" xfId="0" applyBorder="1"/>
    <xf numFmtId="43" fontId="0" fillId="0" borderId="7" xfId="1" applyFont="1" applyFill="1" applyBorder="1" applyAlignment="1">
      <alignment horizontal="center" vertical="center"/>
    </xf>
    <xf numFmtId="0" fontId="0" fillId="0" borderId="15" xfId="0" applyBorder="1"/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43" fontId="0" fillId="0" borderId="17" xfId="0" applyNumberFormat="1" applyBorder="1"/>
    <xf numFmtId="43" fontId="0" fillId="0" borderId="18" xfId="0" applyNumberFormat="1" applyBorder="1"/>
    <xf numFmtId="0" fontId="0" fillId="0" borderId="19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0" fillId="0" borderId="1" xfId="0" applyNumberFormat="1" applyBorder="1"/>
    <xf numFmtId="0" fontId="0" fillId="0" borderId="1" xfId="0" applyBorder="1" applyAlignment="1">
      <alignment horizontal="left" vertical="top"/>
    </xf>
    <xf numFmtId="170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28D4-1E23-4A71-9D21-AFB1D354752A}">
  <dimension ref="A1:T27"/>
  <sheetViews>
    <sheetView zoomScale="90" zoomScaleNormal="90" workbookViewId="0">
      <selection activeCell="A27" sqref="A27"/>
    </sheetView>
  </sheetViews>
  <sheetFormatPr baseColWidth="10" defaultRowHeight="15"/>
  <cols>
    <col min="1" max="3" width="8.5703125" customWidth="1"/>
    <col min="4" max="4" width="2.5703125" customWidth="1"/>
    <col min="5" max="7" width="8.5703125" customWidth="1"/>
    <col min="8" max="8" width="2.5703125" customWidth="1"/>
    <col min="9" max="11" width="8.5703125" customWidth="1"/>
    <col min="12" max="12" width="2.5703125" customWidth="1"/>
    <col min="13" max="15" width="8.5703125" customWidth="1"/>
    <col min="16" max="16" width="2.7109375" customWidth="1"/>
    <col min="17" max="19" width="7.7109375" customWidth="1"/>
  </cols>
  <sheetData>
    <row r="1" spans="1:19" ht="18.75">
      <c r="A1" s="7" t="s">
        <v>9</v>
      </c>
    </row>
    <row r="2" spans="1:19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4"/>
      <c r="Q2" s="4"/>
      <c r="R2" s="4"/>
      <c r="S2" s="4"/>
    </row>
    <row r="3" spans="1:19">
      <c r="A3" s="13" t="s">
        <v>11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4"/>
      <c r="Q3" s="4"/>
      <c r="R3" s="4"/>
      <c r="S3" s="4"/>
    </row>
    <row r="4" spans="1:19" ht="27.75" customHeight="1">
      <c r="A4" s="15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5"/>
      <c r="Q4" s="5"/>
      <c r="R4" s="5"/>
      <c r="S4" s="5"/>
    </row>
    <row r="5" spans="1:19" ht="17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0" t="s">
        <v>8</v>
      </c>
      <c r="R5" s="11"/>
      <c r="S5" s="12"/>
    </row>
    <row r="6" spans="1:19">
      <c r="A6" s="16" t="s">
        <v>4</v>
      </c>
      <c r="B6" s="16"/>
      <c r="C6" s="16"/>
      <c r="E6" s="16" t="s">
        <v>5</v>
      </c>
      <c r="F6" s="16"/>
      <c r="G6" s="16"/>
      <c r="I6" s="16" t="s">
        <v>6</v>
      </c>
      <c r="J6" s="16"/>
      <c r="K6" s="16"/>
      <c r="M6" s="16" t="s">
        <v>7</v>
      </c>
      <c r="N6" s="16"/>
      <c r="O6" s="16"/>
      <c r="Q6" s="1" t="s">
        <v>0</v>
      </c>
      <c r="R6" s="1" t="s">
        <v>3</v>
      </c>
      <c r="S6" s="1" t="s">
        <v>1</v>
      </c>
    </row>
    <row r="7" spans="1:19">
      <c r="A7" s="1" t="s">
        <v>0</v>
      </c>
      <c r="B7" s="1" t="s">
        <v>3</v>
      </c>
      <c r="C7" s="1" t="s">
        <v>1</v>
      </c>
      <c r="E7" s="1" t="s">
        <v>0</v>
      </c>
      <c r="F7" s="1" t="s">
        <v>3</v>
      </c>
      <c r="G7" s="1" t="s">
        <v>1</v>
      </c>
      <c r="I7" s="1" t="s">
        <v>0</v>
      </c>
      <c r="J7" s="1" t="s">
        <v>3</v>
      </c>
      <c r="K7" s="1" t="s">
        <v>1</v>
      </c>
      <c r="M7" s="1" t="s">
        <v>0</v>
      </c>
      <c r="N7" s="1" t="s">
        <v>3</v>
      </c>
      <c r="O7" s="1" t="s">
        <v>1</v>
      </c>
      <c r="Q7" s="3">
        <v>1</v>
      </c>
      <c r="R7" s="3">
        <v>5</v>
      </c>
      <c r="S7" s="2">
        <v>8</v>
      </c>
    </row>
    <row r="8" spans="1:19">
      <c r="A8" s="3">
        <v>10</v>
      </c>
      <c r="B8" s="3">
        <v>19</v>
      </c>
      <c r="C8" s="2">
        <v>3</v>
      </c>
      <c r="E8" s="3">
        <v>10.1</v>
      </c>
      <c r="F8" s="3">
        <v>11.3</v>
      </c>
      <c r="G8" s="2">
        <v>2</v>
      </c>
      <c r="I8" s="3">
        <v>20.5</v>
      </c>
      <c r="J8" s="3">
        <v>30</v>
      </c>
      <c r="K8" s="2">
        <v>5</v>
      </c>
      <c r="M8" s="3">
        <v>45</v>
      </c>
      <c r="N8" s="3">
        <v>54</v>
      </c>
      <c r="O8" s="2">
        <v>8</v>
      </c>
      <c r="Q8" s="3">
        <v>6</v>
      </c>
      <c r="R8" s="3">
        <v>10</v>
      </c>
      <c r="S8" s="2">
        <v>15</v>
      </c>
    </row>
    <row r="9" spans="1:19">
      <c r="A9" s="3">
        <v>20</v>
      </c>
      <c r="B9" s="3">
        <v>29</v>
      </c>
      <c r="C9" s="2">
        <v>4</v>
      </c>
      <c r="E9" s="3">
        <v>11.4</v>
      </c>
      <c r="F9" s="3">
        <v>11.3</v>
      </c>
      <c r="G9" s="2">
        <v>8</v>
      </c>
      <c r="I9" s="3">
        <v>30.1</v>
      </c>
      <c r="J9" s="3">
        <v>39.6</v>
      </c>
      <c r="K9" s="2">
        <v>8</v>
      </c>
      <c r="M9" s="3">
        <v>55</v>
      </c>
      <c r="N9" s="3">
        <v>64</v>
      </c>
      <c r="O9" s="2">
        <v>15</v>
      </c>
      <c r="Q9" s="3">
        <v>11</v>
      </c>
      <c r="R9" s="3">
        <v>15</v>
      </c>
      <c r="S9" s="2">
        <v>30</v>
      </c>
    </row>
    <row r="10" spans="1:19">
      <c r="A10" s="3">
        <v>30</v>
      </c>
      <c r="B10" s="3">
        <v>39</v>
      </c>
      <c r="C10" s="2">
        <v>8</v>
      </c>
      <c r="E10" s="3">
        <v>12.7</v>
      </c>
      <c r="F10" s="3">
        <v>11.3</v>
      </c>
      <c r="G10" s="2">
        <v>7</v>
      </c>
      <c r="I10" s="3">
        <v>39.700000000000003</v>
      </c>
      <c r="J10" s="3">
        <v>49.2</v>
      </c>
      <c r="K10" s="2">
        <v>7</v>
      </c>
      <c r="M10" s="3">
        <v>65</v>
      </c>
      <c r="N10" s="3">
        <v>74</v>
      </c>
      <c r="O10" s="2">
        <v>30</v>
      </c>
      <c r="Q10" s="3">
        <v>16</v>
      </c>
      <c r="R10" s="3">
        <v>20</v>
      </c>
      <c r="S10" s="2">
        <v>45</v>
      </c>
    </row>
    <row r="11" spans="1:19">
      <c r="A11" s="3">
        <v>40</v>
      </c>
      <c r="B11" s="3">
        <v>49</v>
      </c>
      <c r="C11" s="2">
        <v>10</v>
      </c>
      <c r="E11" s="3">
        <v>14</v>
      </c>
      <c r="F11" s="3">
        <v>11.3</v>
      </c>
      <c r="G11" s="2">
        <v>6</v>
      </c>
      <c r="I11" s="3">
        <v>49.3</v>
      </c>
      <c r="J11" s="3">
        <v>58.8</v>
      </c>
      <c r="K11" s="2">
        <v>16</v>
      </c>
      <c r="M11" s="3">
        <v>75</v>
      </c>
      <c r="N11" s="3">
        <v>84</v>
      </c>
      <c r="O11" s="2">
        <v>45</v>
      </c>
      <c r="Q11" s="3">
        <v>21</v>
      </c>
      <c r="R11" s="3">
        <v>25</v>
      </c>
      <c r="S11" s="2">
        <v>50</v>
      </c>
    </row>
    <row r="12" spans="1:19">
      <c r="A12" s="3">
        <v>50</v>
      </c>
      <c r="B12" s="3">
        <v>59</v>
      </c>
      <c r="C12" s="2">
        <v>12</v>
      </c>
      <c r="E12" s="3">
        <v>15.3</v>
      </c>
      <c r="F12" s="3">
        <v>11.3</v>
      </c>
      <c r="G12" s="2">
        <v>5</v>
      </c>
      <c r="I12" s="3">
        <v>58.9</v>
      </c>
      <c r="J12" s="3">
        <v>68.400000000000006</v>
      </c>
      <c r="K12" s="2">
        <v>6</v>
      </c>
      <c r="M12" s="3">
        <v>85</v>
      </c>
      <c r="N12" s="3">
        <v>94</v>
      </c>
      <c r="O12" s="2">
        <v>50</v>
      </c>
      <c r="Q12" s="3">
        <v>26</v>
      </c>
      <c r="R12" s="3">
        <v>30</v>
      </c>
      <c r="S12" s="2">
        <v>25</v>
      </c>
    </row>
    <row r="13" spans="1:19">
      <c r="A13" s="3">
        <v>60</v>
      </c>
      <c r="B13" s="3">
        <v>69</v>
      </c>
      <c r="C13" s="2">
        <v>5</v>
      </c>
      <c r="E13" s="3">
        <v>16.600000000000001</v>
      </c>
      <c r="F13" s="3">
        <v>11.3</v>
      </c>
      <c r="G13" s="2">
        <v>4</v>
      </c>
      <c r="I13" s="3">
        <v>68.5</v>
      </c>
      <c r="J13" s="3">
        <v>78</v>
      </c>
      <c r="K13" s="2">
        <v>10</v>
      </c>
      <c r="M13" s="3">
        <v>95</v>
      </c>
      <c r="N13" s="3">
        <v>104</v>
      </c>
      <c r="O13" s="2">
        <v>25</v>
      </c>
      <c r="Q13" s="3">
        <v>31</v>
      </c>
      <c r="R13" s="3">
        <v>35</v>
      </c>
      <c r="S13" s="2">
        <v>10</v>
      </c>
    </row>
    <row r="14" spans="1:19">
      <c r="A14" s="3">
        <v>70</v>
      </c>
      <c r="B14" s="3">
        <v>79</v>
      </c>
      <c r="C14" s="2">
        <v>20</v>
      </c>
      <c r="E14" s="3">
        <v>17.899999999999999</v>
      </c>
      <c r="F14" s="3">
        <v>11.3</v>
      </c>
      <c r="G14" s="2">
        <v>10</v>
      </c>
      <c r="I14" s="3">
        <v>78.099999999999994</v>
      </c>
      <c r="J14" s="3">
        <v>87.6</v>
      </c>
      <c r="K14" s="2">
        <v>14</v>
      </c>
      <c r="M14" s="3">
        <v>105</v>
      </c>
      <c r="N14" s="3">
        <v>114</v>
      </c>
      <c r="O14" s="2">
        <v>10</v>
      </c>
      <c r="Q14" s="3">
        <v>36</v>
      </c>
      <c r="R14" s="3">
        <v>40</v>
      </c>
      <c r="S14" s="2">
        <v>60</v>
      </c>
    </row>
    <row r="15" spans="1:19">
      <c r="A15" s="3">
        <v>80</v>
      </c>
      <c r="B15" s="3">
        <v>89</v>
      </c>
      <c r="C15" s="2">
        <v>18</v>
      </c>
      <c r="E15" s="3">
        <v>19.2</v>
      </c>
      <c r="F15" s="3">
        <v>11.3</v>
      </c>
      <c r="G15" s="2">
        <v>8</v>
      </c>
      <c r="I15" s="3">
        <v>87.7</v>
      </c>
      <c r="J15" s="3">
        <v>97.2</v>
      </c>
      <c r="K15" s="2">
        <v>5</v>
      </c>
      <c r="M15" s="3">
        <v>115</v>
      </c>
      <c r="N15" s="3">
        <v>124</v>
      </c>
      <c r="O15" s="2">
        <v>60</v>
      </c>
      <c r="Q15" s="3">
        <v>41</v>
      </c>
      <c r="R15" s="3">
        <v>45</v>
      </c>
      <c r="S15" s="2">
        <v>25</v>
      </c>
    </row>
    <row r="16" spans="1:19">
      <c r="A16" s="3">
        <v>90</v>
      </c>
      <c r="B16" s="3">
        <v>99</v>
      </c>
      <c r="C16" s="2">
        <v>17</v>
      </c>
      <c r="E16" s="3">
        <v>20.5</v>
      </c>
      <c r="F16" s="3">
        <v>11.3</v>
      </c>
      <c r="G16" s="2">
        <v>4</v>
      </c>
      <c r="I16" s="3">
        <v>97.3</v>
      </c>
      <c r="J16" s="3">
        <v>106.8</v>
      </c>
      <c r="K16" s="2">
        <v>6</v>
      </c>
      <c r="M16" s="3">
        <v>125</v>
      </c>
      <c r="N16" s="3">
        <v>134</v>
      </c>
      <c r="O16" s="2">
        <v>25</v>
      </c>
      <c r="Q16" s="3">
        <v>41</v>
      </c>
      <c r="R16" s="3">
        <v>45</v>
      </c>
      <c r="S16" s="2">
        <v>5</v>
      </c>
    </row>
    <row r="17" spans="1:20">
      <c r="A17" s="3">
        <v>100</v>
      </c>
      <c r="B17" s="3">
        <v>109</v>
      </c>
      <c r="C17" s="2">
        <v>14</v>
      </c>
      <c r="E17" s="3">
        <v>21.8</v>
      </c>
      <c r="F17" s="3">
        <v>11.3</v>
      </c>
      <c r="G17" s="2">
        <v>3</v>
      </c>
      <c r="I17" s="3">
        <v>106.9</v>
      </c>
      <c r="J17" s="3">
        <v>116.4</v>
      </c>
      <c r="K17" s="2">
        <v>2</v>
      </c>
      <c r="M17" s="14" t="s">
        <v>2</v>
      </c>
      <c r="N17" s="14"/>
      <c r="O17" s="6">
        <f>SUM(O8:O16)</f>
        <v>268</v>
      </c>
      <c r="Q17" s="3">
        <v>41</v>
      </c>
      <c r="R17" s="3">
        <v>45</v>
      </c>
      <c r="S17" s="2">
        <v>10</v>
      </c>
    </row>
    <row r="18" spans="1:20">
      <c r="A18" s="3">
        <v>110</v>
      </c>
      <c r="B18" s="3">
        <v>119</v>
      </c>
      <c r="C18" s="2">
        <v>12</v>
      </c>
      <c r="E18" s="14" t="s">
        <v>2</v>
      </c>
      <c r="F18" s="14"/>
      <c r="G18" s="6">
        <f>SUM(G8:G17)</f>
        <v>57</v>
      </c>
      <c r="I18" s="14" t="s">
        <v>2</v>
      </c>
      <c r="J18" s="14"/>
      <c r="K18" s="6">
        <f>SUM(K8:K17)</f>
        <v>79</v>
      </c>
      <c r="Q18" s="3">
        <v>41</v>
      </c>
      <c r="R18" s="3">
        <v>45</v>
      </c>
      <c r="S18" s="2">
        <v>15</v>
      </c>
    </row>
    <row r="19" spans="1:20">
      <c r="A19" s="14" t="s">
        <v>2</v>
      </c>
      <c r="B19" s="14"/>
      <c r="C19" s="6">
        <f>SUM(C8:C18)</f>
        <v>123</v>
      </c>
      <c r="Q19" s="3">
        <v>41</v>
      </c>
      <c r="R19" s="3">
        <v>45</v>
      </c>
      <c r="S19" s="2">
        <v>20</v>
      </c>
    </row>
    <row r="20" spans="1:20">
      <c r="Q20" s="14" t="s">
        <v>2</v>
      </c>
      <c r="R20" s="14"/>
      <c r="S20" s="6">
        <f>SUM(S7:S19)</f>
        <v>318</v>
      </c>
    </row>
    <row r="22" spans="1:20" ht="18.75">
      <c r="A22" s="7" t="s">
        <v>13</v>
      </c>
    </row>
    <row r="23" spans="1:20">
      <c r="A23" s="8" t="s">
        <v>14</v>
      </c>
    </row>
    <row r="24" spans="1:20">
      <c r="A24" s="8" t="s">
        <v>15</v>
      </c>
    </row>
    <row r="25" spans="1:20">
      <c r="A25" s="9" t="s">
        <v>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>
      <c r="A27" s="8" t="s">
        <v>17</v>
      </c>
    </row>
  </sheetData>
  <mergeCells count="14">
    <mergeCell ref="A25:T26"/>
    <mergeCell ref="Q5:S5"/>
    <mergeCell ref="A3:O3"/>
    <mergeCell ref="A2:O2"/>
    <mergeCell ref="Q20:R20"/>
    <mergeCell ref="A19:B19"/>
    <mergeCell ref="E18:F18"/>
    <mergeCell ref="I18:J18"/>
    <mergeCell ref="M17:N17"/>
    <mergeCell ref="A4:O4"/>
    <mergeCell ref="A6:C6"/>
    <mergeCell ref="E6:G6"/>
    <mergeCell ref="I6:K6"/>
    <mergeCell ref="M6:O6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6A23-4178-4C4D-B5ED-A8769CC45BB3}">
  <dimension ref="A1:X87"/>
  <sheetViews>
    <sheetView zoomScale="55" zoomScaleNormal="55" workbookViewId="0">
      <selection activeCell="O60" sqref="O60"/>
    </sheetView>
  </sheetViews>
  <sheetFormatPr baseColWidth="10" defaultRowHeight="15"/>
  <cols>
    <col min="6" max="7" width="13.42578125" bestFit="1" customWidth="1"/>
    <col min="8" max="8" width="12" bestFit="1" customWidth="1"/>
    <col min="9" max="9" width="13.140625" bestFit="1" customWidth="1"/>
    <col min="11" max="11" width="13.28515625" customWidth="1"/>
    <col min="12" max="12" width="13.140625" bestFit="1" customWidth="1"/>
    <col min="14" max="14" width="10.5703125" bestFit="1" customWidth="1"/>
  </cols>
  <sheetData>
    <row r="1" spans="1:24" ht="15.75" thickBot="1">
      <c r="A1" s="17" t="s">
        <v>4</v>
      </c>
      <c r="B1" s="18"/>
      <c r="C1" s="18"/>
      <c r="D1" s="18"/>
      <c r="E1" s="18"/>
      <c r="F1" s="18"/>
      <c r="X1" s="55"/>
    </row>
    <row r="2" spans="1:24">
      <c r="A2" s="1" t="s">
        <v>0</v>
      </c>
      <c r="B2" s="1" t="s">
        <v>3</v>
      </c>
      <c r="C2" s="1" t="s">
        <v>1</v>
      </c>
      <c r="D2" s="20" t="s">
        <v>18</v>
      </c>
      <c r="E2" s="20" t="s">
        <v>19</v>
      </c>
      <c r="F2" s="20" t="s">
        <v>20</v>
      </c>
      <c r="G2" s="20" t="s">
        <v>42</v>
      </c>
      <c r="H2" s="20" t="s">
        <v>43</v>
      </c>
      <c r="I2" s="20" t="s">
        <v>41</v>
      </c>
      <c r="J2" s="20" t="s">
        <v>49</v>
      </c>
      <c r="K2" s="20" t="s">
        <v>50</v>
      </c>
      <c r="L2" s="20" t="s">
        <v>51</v>
      </c>
      <c r="N2" s="28" t="s">
        <v>21</v>
      </c>
      <c r="O2" s="29"/>
      <c r="Q2" s="38" t="s">
        <v>24</v>
      </c>
      <c r="R2" s="39"/>
      <c r="T2" s="38" t="s">
        <v>25</v>
      </c>
      <c r="U2" s="39"/>
      <c r="X2" s="55"/>
    </row>
    <row r="3" spans="1:24">
      <c r="A3" s="3">
        <v>10</v>
      </c>
      <c r="B3" s="3">
        <v>19</v>
      </c>
      <c r="C3" s="2">
        <v>3</v>
      </c>
      <c r="D3" s="21">
        <f>C3*A3</f>
        <v>30</v>
      </c>
      <c r="E3" s="21">
        <f>C3*B3</f>
        <v>57</v>
      </c>
      <c r="F3" s="22">
        <f>C3</f>
        <v>3</v>
      </c>
      <c r="G3" s="21">
        <f>A3-O$3</f>
        <v>-61.056910569105696</v>
      </c>
      <c r="H3" s="21">
        <f>(A3-O$3)^2</f>
        <v>3727.9463282437709</v>
      </c>
      <c r="I3" s="21">
        <f>C3*(A3-O$3)^2</f>
        <v>11183.838984731312</v>
      </c>
      <c r="J3" s="21">
        <f>B3-O$4</f>
        <v>-61.056910569105696</v>
      </c>
      <c r="K3" s="21">
        <f>(B3-O$4)^2</f>
        <v>3727.9463282437709</v>
      </c>
      <c r="L3" s="21">
        <f>C3*(B3-O$4)^2</f>
        <v>11183.838984731312</v>
      </c>
      <c r="N3" s="30" t="s">
        <v>22</v>
      </c>
      <c r="O3" s="31">
        <f>D14/C14</f>
        <v>71.056910569105696</v>
      </c>
      <c r="Q3" s="34" t="s">
        <v>22</v>
      </c>
      <c r="R3" s="23">
        <f>INDEX(A3:A13,MATCH(MAX(C3:C13),C3:C13,0))</f>
        <v>70</v>
      </c>
      <c r="T3" s="34" t="s">
        <v>22</v>
      </c>
      <c r="U3" s="23">
        <f>INDEX(A3:A13,MATCH((1+C14)/2,F3:F13))</f>
        <v>70</v>
      </c>
      <c r="X3" s="55"/>
    </row>
    <row r="4" spans="1:24" ht="15.75" thickBot="1">
      <c r="A4" s="3">
        <v>20</v>
      </c>
      <c r="B4" s="3">
        <v>29</v>
      </c>
      <c r="C4" s="2">
        <v>4</v>
      </c>
      <c r="D4" s="21">
        <f t="shared" ref="D4:D13" si="0">C4*A4</f>
        <v>80</v>
      </c>
      <c r="E4" s="21">
        <f t="shared" ref="E4:E13" si="1">C4*B4</f>
        <v>116</v>
      </c>
      <c r="F4" s="22">
        <f>F3+C4</f>
        <v>7</v>
      </c>
      <c r="G4" s="21">
        <f>A4-O$3</f>
        <v>-51.056910569105696</v>
      </c>
      <c r="H4" s="21">
        <f t="shared" ref="H4:H13" si="2">(A4-O$3)^2</f>
        <v>2606.8081168616568</v>
      </c>
      <c r="I4" s="21">
        <f t="shared" ref="I4:I13" si="3">C4*(A4-O$3)^2</f>
        <v>10427.232467446627</v>
      </c>
      <c r="J4" s="21">
        <f t="shared" ref="J4:J13" si="4">B4-O$4</f>
        <v>-51.056910569105696</v>
      </c>
      <c r="K4" s="21">
        <f t="shared" ref="K4:K13" si="5">(B4-O$4)^2</f>
        <v>2606.8081168616568</v>
      </c>
      <c r="L4" s="21">
        <f t="shared" ref="L4:L13" si="6">C4*(B4-O$4)^2</f>
        <v>10427.232467446627</v>
      </c>
      <c r="N4" s="32" t="s">
        <v>23</v>
      </c>
      <c r="O4" s="33">
        <f>E14/C14</f>
        <v>80.056910569105696</v>
      </c>
      <c r="Q4" s="32" t="s">
        <v>23</v>
      </c>
      <c r="R4" s="24">
        <f>INDEX(B3:B13,MATCH(MAX(C3:C13),C3:C13,0))</f>
        <v>79</v>
      </c>
      <c r="T4" s="32" t="s">
        <v>26</v>
      </c>
      <c r="U4" s="24">
        <f>INDEX(B3:B13,MATCH((1+C14)/2,F3:F13))</f>
        <v>79</v>
      </c>
      <c r="X4" s="55"/>
    </row>
    <row r="5" spans="1:24">
      <c r="A5" s="3">
        <v>30</v>
      </c>
      <c r="B5" s="3">
        <v>39</v>
      </c>
      <c r="C5" s="2">
        <v>8</v>
      </c>
      <c r="D5" s="21">
        <f t="shared" si="0"/>
        <v>240</v>
      </c>
      <c r="E5" s="21">
        <f t="shared" si="1"/>
        <v>312</v>
      </c>
      <c r="F5" s="22">
        <f t="shared" ref="F5:F13" si="7">F4+C5</f>
        <v>15</v>
      </c>
      <c r="G5" s="21">
        <f>A5-O$3</f>
        <v>-41.056910569105696</v>
      </c>
      <c r="H5" s="21">
        <f t="shared" si="2"/>
        <v>1685.6699054795431</v>
      </c>
      <c r="I5" s="21">
        <f t="shared" si="3"/>
        <v>13485.359243836345</v>
      </c>
      <c r="J5" s="21">
        <f t="shared" si="4"/>
        <v>-41.056910569105696</v>
      </c>
      <c r="K5" s="21">
        <f t="shared" si="5"/>
        <v>1685.6699054795431</v>
      </c>
      <c r="L5" s="21">
        <f t="shared" si="6"/>
        <v>13485.359243836345</v>
      </c>
      <c r="X5" s="55"/>
    </row>
    <row r="6" spans="1:24">
      <c r="A6" s="3">
        <v>40</v>
      </c>
      <c r="B6" s="3">
        <v>49</v>
      </c>
      <c r="C6" s="2">
        <v>10</v>
      </c>
      <c r="D6" s="21">
        <f t="shared" si="0"/>
        <v>400</v>
      </c>
      <c r="E6" s="21">
        <f t="shared" si="1"/>
        <v>490</v>
      </c>
      <c r="F6" s="22">
        <f t="shared" si="7"/>
        <v>25</v>
      </c>
      <c r="G6" s="21">
        <f>A6-O$3</f>
        <v>-31.056910569105696</v>
      </c>
      <c r="H6" s="21">
        <f t="shared" si="2"/>
        <v>964.53169409742907</v>
      </c>
      <c r="I6" s="21">
        <f t="shared" si="3"/>
        <v>9645.3169409742914</v>
      </c>
      <c r="J6" s="21">
        <f t="shared" si="4"/>
        <v>-31.056910569105696</v>
      </c>
      <c r="K6" s="21">
        <f t="shared" si="5"/>
        <v>964.53169409742907</v>
      </c>
      <c r="L6" s="21">
        <f t="shared" si="6"/>
        <v>9645.3169409742914</v>
      </c>
      <c r="Q6" s="16" t="s">
        <v>0</v>
      </c>
      <c r="R6" s="16"/>
      <c r="S6" s="16"/>
      <c r="U6" s="16" t="s">
        <v>3</v>
      </c>
      <c r="V6" s="16"/>
      <c r="W6" s="16"/>
      <c r="X6" s="55"/>
    </row>
    <row r="7" spans="1:24">
      <c r="A7" s="3">
        <v>50</v>
      </c>
      <c r="B7" s="3">
        <v>59</v>
      </c>
      <c r="C7" s="2">
        <v>12</v>
      </c>
      <c r="D7" s="21">
        <f t="shared" si="0"/>
        <v>600</v>
      </c>
      <c r="E7" s="21">
        <f t="shared" si="1"/>
        <v>708</v>
      </c>
      <c r="F7" s="22">
        <f t="shared" si="7"/>
        <v>37</v>
      </c>
      <c r="G7" s="21">
        <f>A7-O$3</f>
        <v>-21.056910569105696</v>
      </c>
      <c r="H7" s="21">
        <f t="shared" si="2"/>
        <v>443.39348271531514</v>
      </c>
      <c r="I7" s="21">
        <f t="shared" si="3"/>
        <v>5320.7217925837813</v>
      </c>
      <c r="J7" s="21">
        <f t="shared" si="4"/>
        <v>-21.056910569105696</v>
      </c>
      <c r="K7" s="21">
        <f t="shared" si="5"/>
        <v>443.39348271531514</v>
      </c>
      <c r="L7" s="21">
        <f t="shared" si="6"/>
        <v>5320.7217925837813</v>
      </c>
      <c r="Q7" s="46" t="s">
        <v>44</v>
      </c>
      <c r="R7" s="46" t="s">
        <v>45</v>
      </c>
      <c r="S7" s="46" t="s">
        <v>46</v>
      </c>
      <c r="U7" s="46" t="s">
        <v>44</v>
      </c>
      <c r="V7" s="46" t="s">
        <v>45</v>
      </c>
      <c r="W7" s="46" t="s">
        <v>46</v>
      </c>
      <c r="X7" s="55"/>
    </row>
    <row r="8" spans="1:24">
      <c r="A8" s="3">
        <v>60</v>
      </c>
      <c r="B8" s="3">
        <v>69</v>
      </c>
      <c r="C8" s="2">
        <v>5</v>
      </c>
      <c r="D8" s="21">
        <f t="shared" si="0"/>
        <v>300</v>
      </c>
      <c r="E8" s="21">
        <f t="shared" si="1"/>
        <v>345</v>
      </c>
      <c r="F8" s="22">
        <f t="shared" si="7"/>
        <v>42</v>
      </c>
      <c r="G8" s="21">
        <f>A8-O$3</f>
        <v>-11.056910569105696</v>
      </c>
      <c r="H8" s="21">
        <f t="shared" si="2"/>
        <v>122.25527133320125</v>
      </c>
      <c r="I8" s="21">
        <f t="shared" si="3"/>
        <v>611.27635666600622</v>
      </c>
      <c r="J8" s="21">
        <f t="shared" si="4"/>
        <v>-11.056910569105696</v>
      </c>
      <c r="K8" s="21">
        <f t="shared" si="5"/>
        <v>122.25527133320125</v>
      </c>
      <c r="L8" s="21">
        <f t="shared" si="6"/>
        <v>611.27635666600622</v>
      </c>
      <c r="Q8" s="47" t="s">
        <v>47</v>
      </c>
      <c r="R8" s="21">
        <f>I14/C14</f>
        <v>716.76911891070142</v>
      </c>
      <c r="S8" s="21">
        <f>I14/(C14-1)</f>
        <v>722.64427562308424</v>
      </c>
      <c r="U8" s="47" t="s">
        <v>47</v>
      </c>
      <c r="V8" s="21">
        <f>L14/C14</f>
        <v>716.76911891070142</v>
      </c>
      <c r="W8" s="21">
        <f>L14/(C14-1)</f>
        <v>722.64427562308424</v>
      </c>
      <c r="X8" s="55"/>
    </row>
    <row r="9" spans="1:24" ht="30">
      <c r="A9" s="3">
        <v>70</v>
      </c>
      <c r="B9" s="3">
        <v>79</v>
      </c>
      <c r="C9" s="2">
        <v>20</v>
      </c>
      <c r="D9" s="21">
        <f t="shared" si="0"/>
        <v>1400</v>
      </c>
      <c r="E9" s="21">
        <f t="shared" si="1"/>
        <v>1580</v>
      </c>
      <c r="F9" s="22">
        <f t="shared" si="7"/>
        <v>62</v>
      </c>
      <c r="G9" s="21">
        <f>A9-O$3</f>
        <v>-1.0569105691056961</v>
      </c>
      <c r="H9" s="21">
        <f t="shared" si="2"/>
        <v>1.1170599510873265</v>
      </c>
      <c r="I9" s="21">
        <f t="shared" si="3"/>
        <v>22.341199021746529</v>
      </c>
      <c r="J9" s="21">
        <f t="shared" si="4"/>
        <v>-1.0569105691056961</v>
      </c>
      <c r="K9" s="21">
        <f t="shared" si="5"/>
        <v>1.1170599510873265</v>
      </c>
      <c r="L9" s="21">
        <f t="shared" si="6"/>
        <v>22.341199021746529</v>
      </c>
      <c r="Q9" s="47" t="s">
        <v>48</v>
      </c>
      <c r="R9" s="48">
        <f>SQRT(R8)</f>
        <v>26.772544124731617</v>
      </c>
      <c r="S9" s="48">
        <f>SQRT(S8)</f>
        <v>26.88204373969889</v>
      </c>
      <c r="U9" s="47" t="s">
        <v>48</v>
      </c>
      <c r="V9" s="48">
        <f>SQRT(V8)</f>
        <v>26.772544124731617</v>
      </c>
      <c r="W9" s="48">
        <f>SQRT(W8)</f>
        <v>26.88204373969889</v>
      </c>
      <c r="X9" s="55"/>
    </row>
    <row r="10" spans="1:24">
      <c r="A10" s="3">
        <v>80</v>
      </c>
      <c r="B10" s="3">
        <v>89</v>
      </c>
      <c r="C10" s="2">
        <v>18</v>
      </c>
      <c r="D10" s="21">
        <f t="shared" si="0"/>
        <v>1440</v>
      </c>
      <c r="E10" s="21">
        <f t="shared" si="1"/>
        <v>1602</v>
      </c>
      <c r="F10" s="22">
        <f t="shared" si="7"/>
        <v>80</v>
      </c>
      <c r="G10" s="21">
        <f>A10-O$3</f>
        <v>8.9430894308943039</v>
      </c>
      <c r="H10" s="21">
        <f t="shared" si="2"/>
        <v>79.978848568973405</v>
      </c>
      <c r="I10" s="21">
        <f t="shared" si="3"/>
        <v>1439.6192742415212</v>
      </c>
      <c r="J10" s="21">
        <f t="shared" si="4"/>
        <v>8.9430894308943039</v>
      </c>
      <c r="K10" s="21">
        <f t="shared" si="5"/>
        <v>79.978848568973405</v>
      </c>
      <c r="L10" s="21">
        <f t="shared" si="6"/>
        <v>1439.6192742415212</v>
      </c>
      <c r="X10" s="55"/>
    </row>
    <row r="11" spans="1:24">
      <c r="A11" s="3">
        <v>90</v>
      </c>
      <c r="B11" s="3">
        <v>99</v>
      </c>
      <c r="C11" s="2">
        <v>17</v>
      </c>
      <c r="D11" s="21">
        <f t="shared" si="0"/>
        <v>1530</v>
      </c>
      <c r="E11" s="21">
        <f t="shared" si="1"/>
        <v>1683</v>
      </c>
      <c r="F11" s="22">
        <f t="shared" si="7"/>
        <v>97</v>
      </c>
      <c r="G11" s="21">
        <f>A11-O$3</f>
        <v>18.943089430894304</v>
      </c>
      <c r="H11" s="21">
        <f t="shared" si="2"/>
        <v>358.84063718685945</v>
      </c>
      <c r="I11" s="21">
        <f t="shared" si="3"/>
        <v>6100.2908321766108</v>
      </c>
      <c r="J11" s="21">
        <f t="shared" si="4"/>
        <v>18.943089430894304</v>
      </c>
      <c r="K11" s="21">
        <f t="shared" si="5"/>
        <v>358.84063718685945</v>
      </c>
      <c r="L11" s="21">
        <f t="shared" si="6"/>
        <v>6100.2908321766108</v>
      </c>
      <c r="X11" s="55"/>
    </row>
    <row r="12" spans="1:24">
      <c r="A12" s="3">
        <v>100</v>
      </c>
      <c r="B12" s="3">
        <v>109</v>
      </c>
      <c r="C12" s="2">
        <v>14</v>
      </c>
      <c r="D12" s="21">
        <f t="shared" si="0"/>
        <v>1400</v>
      </c>
      <c r="E12" s="21">
        <f t="shared" si="1"/>
        <v>1526</v>
      </c>
      <c r="F12" s="22">
        <f t="shared" si="7"/>
        <v>111</v>
      </c>
      <c r="G12" s="21">
        <f>A12-O$3</f>
        <v>28.943089430894304</v>
      </c>
      <c r="H12" s="21">
        <f t="shared" si="2"/>
        <v>837.70242580474553</v>
      </c>
      <c r="I12" s="21">
        <f t="shared" si="3"/>
        <v>11727.833961266437</v>
      </c>
      <c r="J12" s="21">
        <f t="shared" si="4"/>
        <v>28.943089430894304</v>
      </c>
      <c r="K12" s="21">
        <f t="shared" si="5"/>
        <v>837.70242580474553</v>
      </c>
      <c r="L12" s="21">
        <f t="shared" si="6"/>
        <v>11727.833961266437</v>
      </c>
      <c r="X12" s="55"/>
    </row>
    <row r="13" spans="1:24">
      <c r="A13" s="3">
        <v>110</v>
      </c>
      <c r="B13" s="3">
        <v>119</v>
      </c>
      <c r="C13" s="2">
        <v>12</v>
      </c>
      <c r="D13" s="21">
        <f t="shared" si="0"/>
        <v>1320</v>
      </c>
      <c r="E13" s="21">
        <f t="shared" si="1"/>
        <v>1428</v>
      </c>
      <c r="F13" s="22">
        <f t="shared" si="7"/>
        <v>123</v>
      </c>
      <c r="G13" s="21">
        <f>A13-O$3</f>
        <v>38.943089430894304</v>
      </c>
      <c r="H13" s="21">
        <f t="shared" si="2"/>
        <v>1516.5642144226317</v>
      </c>
      <c r="I13" s="21">
        <f t="shared" si="3"/>
        <v>18198.770573071582</v>
      </c>
      <c r="J13" s="21">
        <f t="shared" si="4"/>
        <v>38.943089430894304</v>
      </c>
      <c r="K13" s="21">
        <f t="shared" si="5"/>
        <v>1516.5642144226317</v>
      </c>
      <c r="L13" s="21">
        <f t="shared" si="6"/>
        <v>18198.770573071582</v>
      </c>
      <c r="X13" s="55"/>
    </row>
    <row r="14" spans="1:24" ht="15.75" thickBot="1">
      <c r="A14" s="40" t="s">
        <v>2</v>
      </c>
      <c r="B14" s="41"/>
      <c r="C14" s="42">
        <f>SUM(C3:C13)</f>
        <v>123</v>
      </c>
      <c r="D14" s="43">
        <f>SUM(D3:D13)</f>
        <v>8740</v>
      </c>
      <c r="E14" s="44">
        <f>SUM(E3:E13)</f>
        <v>9847</v>
      </c>
      <c r="F14" s="45"/>
      <c r="G14" s="25"/>
      <c r="I14" s="21">
        <f>SUM(I3:I13)</f>
        <v>88162.601626016272</v>
      </c>
      <c r="J14" s="25"/>
      <c r="L14" s="21">
        <f>SUM(L3:L13)</f>
        <v>88162.601626016272</v>
      </c>
      <c r="X14" s="55"/>
    </row>
    <row r="15" spans="1:24" ht="15.75" thickBot="1">
      <c r="F15" s="25"/>
      <c r="X15" s="55"/>
    </row>
    <row r="16" spans="1:24">
      <c r="A16" s="26" t="s">
        <v>27</v>
      </c>
      <c r="B16" s="35" t="s">
        <v>29</v>
      </c>
      <c r="D16" s="26" t="s">
        <v>32</v>
      </c>
      <c r="E16" s="37">
        <v>76.89</v>
      </c>
      <c r="G16" s="26" t="s">
        <v>37</v>
      </c>
      <c r="H16" s="37">
        <v>60.7</v>
      </c>
      <c r="X16" s="55"/>
    </row>
    <row r="17" spans="1:24" ht="15.75" thickBot="1">
      <c r="A17" s="36" t="s">
        <v>28</v>
      </c>
      <c r="B17" s="19">
        <v>62.53</v>
      </c>
      <c r="C17" t="s">
        <v>33</v>
      </c>
      <c r="D17" s="36" t="s">
        <v>34</v>
      </c>
      <c r="E17" s="19">
        <v>85.89</v>
      </c>
      <c r="G17" s="36" t="s">
        <v>38</v>
      </c>
      <c r="H17" s="19">
        <v>69.7</v>
      </c>
      <c r="X17" s="55"/>
    </row>
    <row r="18" spans="1:24" ht="15.75" thickBot="1">
      <c r="X18" s="55"/>
    </row>
    <row r="19" spans="1:24">
      <c r="A19" s="26" t="s">
        <v>30</v>
      </c>
      <c r="B19" s="37">
        <v>87.65</v>
      </c>
      <c r="D19" s="26" t="s">
        <v>35</v>
      </c>
      <c r="E19" s="37">
        <v>91.57</v>
      </c>
      <c r="G19" s="26" t="s">
        <v>39</v>
      </c>
      <c r="H19" s="37">
        <v>96</v>
      </c>
      <c r="X19" s="55"/>
    </row>
    <row r="20" spans="1:24" ht="15.75" thickBot="1">
      <c r="A20" s="36" t="s">
        <v>31</v>
      </c>
      <c r="B20" s="19">
        <v>96.65</v>
      </c>
      <c r="D20" s="36" t="s">
        <v>36</v>
      </c>
      <c r="E20" s="19">
        <v>100.57</v>
      </c>
      <c r="G20" s="36" t="s">
        <v>40</v>
      </c>
      <c r="H20" s="19">
        <v>105</v>
      </c>
      <c r="X20" s="55"/>
    </row>
    <row r="21" spans="1:24">
      <c r="X21" s="55"/>
    </row>
    <row r="22" spans="1:24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</row>
    <row r="23" spans="1:24">
      <c r="X23" s="55"/>
    </row>
    <row r="24" spans="1:24" ht="15.75" thickBot="1">
      <c r="A24" s="16" t="s">
        <v>6</v>
      </c>
      <c r="B24" s="16"/>
      <c r="C24" s="16"/>
      <c r="D24" s="16"/>
      <c r="E24" s="16"/>
      <c r="F24" s="16"/>
      <c r="X24" s="55"/>
    </row>
    <row r="25" spans="1:24">
      <c r="A25" s="1" t="s">
        <v>0</v>
      </c>
      <c r="B25" s="1" t="s">
        <v>3</v>
      </c>
      <c r="C25" s="1" t="s">
        <v>1</v>
      </c>
      <c r="D25" s="20" t="s">
        <v>18</v>
      </c>
      <c r="E25" s="20" t="s">
        <v>19</v>
      </c>
      <c r="F25" s="20" t="s">
        <v>20</v>
      </c>
      <c r="G25" s="20" t="s">
        <v>42</v>
      </c>
      <c r="H25" s="20" t="s">
        <v>43</v>
      </c>
      <c r="I25" s="20" t="s">
        <v>41</v>
      </c>
      <c r="J25" s="20" t="s">
        <v>49</v>
      </c>
      <c r="K25" s="20" t="s">
        <v>50</v>
      </c>
      <c r="L25" s="20" t="s">
        <v>51</v>
      </c>
      <c r="N25" s="28" t="s">
        <v>21</v>
      </c>
      <c r="O25" s="29"/>
      <c r="Q25" s="38" t="s">
        <v>24</v>
      </c>
      <c r="R25" s="39"/>
      <c r="T25" s="38" t="s">
        <v>25</v>
      </c>
      <c r="U25" s="39"/>
      <c r="X25" s="55"/>
    </row>
    <row r="26" spans="1:24">
      <c r="A26" s="3">
        <v>20.5</v>
      </c>
      <c r="B26" s="3">
        <v>30</v>
      </c>
      <c r="C26" s="2">
        <v>5</v>
      </c>
      <c r="D26" s="21">
        <f>C26*A26</f>
        <v>102.5</v>
      </c>
      <c r="E26" s="21">
        <f>C26*B26</f>
        <v>150</v>
      </c>
      <c r="F26" s="22">
        <f>C26</f>
        <v>5</v>
      </c>
      <c r="G26" s="21">
        <f t="shared" ref="G26:G35" si="8">A26-O$26</f>
        <v>-39.979746835443045</v>
      </c>
      <c r="H26" s="21">
        <f>(A26-O$26)^2</f>
        <v>1598.3801570261182</v>
      </c>
      <c r="I26" s="21">
        <f>C26*(A26-O$3)^2</f>
        <v>12780.006031462755</v>
      </c>
      <c r="J26" s="21">
        <f t="shared" ref="J26:J27" si="9">B26-O$27</f>
        <v>-39.979746835443038</v>
      </c>
      <c r="K26" s="21">
        <f>(B26-O$27)^2</f>
        <v>1598.3801570261176</v>
      </c>
      <c r="L26" s="21">
        <f>C26*(B26-O$27)^2</f>
        <v>7991.9007851305878</v>
      </c>
      <c r="N26" s="30" t="s">
        <v>22</v>
      </c>
      <c r="O26" s="31">
        <f>D36/C36</f>
        <v>60.479746835443045</v>
      </c>
      <c r="Q26" s="34" t="s">
        <v>22</v>
      </c>
      <c r="R26" s="23">
        <f>INDEX(A26:A35,MATCH(MAX(C26:C35),C26:C35,0))</f>
        <v>49.3</v>
      </c>
      <c r="T26" s="34" t="s">
        <v>22</v>
      </c>
      <c r="U26" s="23">
        <f>INDEX(A26:A35,MATCH((1+C36)/2,F26:F35))</f>
        <v>49.3</v>
      </c>
      <c r="X26" s="55"/>
    </row>
    <row r="27" spans="1:24" ht="15.75" thickBot="1">
      <c r="A27" s="3">
        <v>30.1</v>
      </c>
      <c r="B27" s="3">
        <v>39.6</v>
      </c>
      <c r="C27" s="2">
        <v>8</v>
      </c>
      <c r="D27" s="21">
        <f t="shared" ref="D27:D35" si="10">C27*A27</f>
        <v>240.8</v>
      </c>
      <c r="E27" s="21">
        <f t="shared" ref="E27:E35" si="11">C27*B27</f>
        <v>316.8</v>
      </c>
      <c r="F27" s="22">
        <f>F26+C27</f>
        <v>13</v>
      </c>
      <c r="G27" s="21">
        <f t="shared" si="8"/>
        <v>-30.379746835443044</v>
      </c>
      <c r="H27" s="21">
        <f>(A27-O$26)^2</f>
        <v>922.92901778561156</v>
      </c>
      <c r="I27" s="21">
        <f t="shared" ref="I27:I35" si="12">C27*(A27-O$3)^2</f>
        <v>13419.748186925774</v>
      </c>
      <c r="J27" s="21">
        <f t="shared" si="9"/>
        <v>-30.379746835443036</v>
      </c>
      <c r="K27" s="21">
        <f t="shared" ref="K27:K35" si="13">(B27-O$27)^2</f>
        <v>922.92901778561122</v>
      </c>
      <c r="L27" s="21">
        <f t="shared" ref="L27:L35" si="14">C27*(B27-O$4)^2</f>
        <v>13094.092902372928</v>
      </c>
      <c r="N27" s="32" t="s">
        <v>23</v>
      </c>
      <c r="O27" s="33">
        <f>E36/C36</f>
        <v>69.979746835443038</v>
      </c>
      <c r="Q27" s="32" t="s">
        <v>23</v>
      </c>
      <c r="R27" s="24">
        <f>INDEX(B26:B35,MATCH(MAX(C26:C35),C26:C35,0))</f>
        <v>58.8</v>
      </c>
      <c r="T27" s="32" t="s">
        <v>26</v>
      </c>
      <c r="U27" s="24">
        <f>INDEX(B26:B35,MATCH((1+C36)/2,F26:F35))</f>
        <v>58.8</v>
      </c>
      <c r="X27" s="55"/>
    </row>
    <row r="28" spans="1:24">
      <c r="A28" s="3">
        <v>39.700000000000003</v>
      </c>
      <c r="B28" s="3">
        <v>49.2</v>
      </c>
      <c r="C28" s="2">
        <v>7</v>
      </c>
      <c r="D28" s="21">
        <f>C28*A28</f>
        <v>277.90000000000003</v>
      </c>
      <c r="E28" s="21">
        <f>C28*B28</f>
        <v>344.40000000000003</v>
      </c>
      <c r="F28" s="22">
        <f t="shared" ref="F28:F35" si="15">F27+C28</f>
        <v>20</v>
      </c>
      <c r="G28" s="21">
        <f t="shared" si="8"/>
        <v>-20.779746835443042</v>
      </c>
      <c r="H28" s="21">
        <f t="shared" ref="H28:H35" si="16">(A28-O$26)^2</f>
        <v>431.79787854510511</v>
      </c>
      <c r="I28" s="21">
        <f t="shared" si="12"/>
        <v>6882.7908830722463</v>
      </c>
      <c r="J28" s="21">
        <f>B28-O$27</f>
        <v>-20.779746835443035</v>
      </c>
      <c r="K28" s="21">
        <f t="shared" si="13"/>
        <v>431.79787854510482</v>
      </c>
      <c r="L28" s="21">
        <f t="shared" si="14"/>
        <v>6665.0425090885064</v>
      </c>
      <c r="X28" s="55"/>
    </row>
    <row r="29" spans="1:24">
      <c r="A29" s="3">
        <v>49.3</v>
      </c>
      <c r="B29" s="3">
        <v>58.8</v>
      </c>
      <c r="C29" s="2">
        <v>16</v>
      </c>
      <c r="D29" s="21">
        <f t="shared" si="10"/>
        <v>788.8</v>
      </c>
      <c r="E29" s="21">
        <f t="shared" si="11"/>
        <v>940.8</v>
      </c>
      <c r="F29" s="22">
        <f>F28+C29</f>
        <v>36</v>
      </c>
      <c r="G29" s="21">
        <f>A29-O$26</f>
        <v>-11.179746835443048</v>
      </c>
      <c r="H29" s="21">
        <f t="shared" si="16"/>
        <v>124.98673930459884</v>
      </c>
      <c r="I29" s="21">
        <f t="shared" si="12"/>
        <v>7573.8105201930121</v>
      </c>
      <c r="J29" s="21">
        <f t="shared" ref="J29:J35" si="17">B29-O$27</f>
        <v>-11.179746835443041</v>
      </c>
      <c r="K29" s="21">
        <f t="shared" si="13"/>
        <v>124.98673930459869</v>
      </c>
      <c r="L29" s="21">
        <f t="shared" si="14"/>
        <v>7229.6999510873211</v>
      </c>
      <c r="Q29" s="16" t="s">
        <v>0</v>
      </c>
      <c r="R29" s="16"/>
      <c r="S29" s="16"/>
      <c r="U29" s="16" t="s">
        <v>3</v>
      </c>
      <c r="V29" s="16"/>
      <c r="W29" s="16"/>
      <c r="X29" s="55"/>
    </row>
    <row r="30" spans="1:24" ht="30">
      <c r="A30" s="3">
        <v>58.9</v>
      </c>
      <c r="B30" s="3">
        <v>68.400000000000006</v>
      </c>
      <c r="C30" s="2">
        <v>6</v>
      </c>
      <c r="D30" s="21">
        <f t="shared" si="10"/>
        <v>353.4</v>
      </c>
      <c r="E30" s="21">
        <f t="shared" si="11"/>
        <v>410.40000000000003</v>
      </c>
      <c r="F30" s="22">
        <f t="shared" si="15"/>
        <v>42</v>
      </c>
      <c r="G30" s="21">
        <f t="shared" si="8"/>
        <v>-1.5797468354430464</v>
      </c>
      <c r="H30" s="21">
        <f t="shared" si="16"/>
        <v>2.4956000640923195</v>
      </c>
      <c r="I30" s="21">
        <f t="shared" si="12"/>
        <v>886.74284751140294</v>
      </c>
      <c r="J30" s="21">
        <f t="shared" si="17"/>
        <v>-1.5797468354430322</v>
      </c>
      <c r="K30" s="21">
        <f t="shared" si="13"/>
        <v>2.4956000640922746</v>
      </c>
      <c r="L30" s="21">
        <f t="shared" si="14"/>
        <v>815.30138409676783</v>
      </c>
      <c r="Q30" s="46" t="s">
        <v>44</v>
      </c>
      <c r="R30" s="46" t="s">
        <v>45</v>
      </c>
      <c r="S30" s="46" t="s">
        <v>46</v>
      </c>
      <c r="U30" s="46" t="s">
        <v>44</v>
      </c>
      <c r="V30" s="46" t="s">
        <v>45</v>
      </c>
      <c r="W30" s="46" t="s">
        <v>46</v>
      </c>
      <c r="X30" s="55"/>
    </row>
    <row r="31" spans="1:24">
      <c r="A31" s="3">
        <v>68.5</v>
      </c>
      <c r="B31" s="3">
        <v>78</v>
      </c>
      <c r="C31" s="2">
        <v>10</v>
      </c>
      <c r="D31" s="21">
        <f t="shared" si="10"/>
        <v>685</v>
      </c>
      <c r="E31" s="21">
        <f t="shared" si="11"/>
        <v>780</v>
      </c>
      <c r="F31" s="22">
        <f t="shared" si="15"/>
        <v>52</v>
      </c>
      <c r="G31" s="21">
        <f t="shared" si="8"/>
        <v>8.020253164556955</v>
      </c>
      <c r="H31" s="21">
        <f t="shared" si="16"/>
        <v>64.324460823585852</v>
      </c>
      <c r="I31" s="21">
        <f t="shared" si="12"/>
        <v>65.377916584044144</v>
      </c>
      <c r="J31" s="21">
        <f t="shared" si="17"/>
        <v>8.0202531645569621</v>
      </c>
      <c r="K31" s="21">
        <f t="shared" si="13"/>
        <v>64.324460823585966</v>
      </c>
      <c r="L31" s="21">
        <f t="shared" si="14"/>
        <v>42.308810892987189</v>
      </c>
      <c r="Q31" s="47" t="s">
        <v>47</v>
      </c>
      <c r="R31" s="21">
        <f>I36/C36</f>
        <v>637.84256473651499</v>
      </c>
      <c r="S31" s="21">
        <f>I36/(C36-1)</f>
        <v>646.02003351518817</v>
      </c>
      <c r="U31" s="47" t="s">
        <v>47</v>
      </c>
      <c r="V31" s="21">
        <f>L36/C36</f>
        <v>570.09045551567965</v>
      </c>
      <c r="W31" s="21">
        <f>L36/(C36-1)</f>
        <v>577.39930750947042</v>
      </c>
      <c r="X31" s="55"/>
    </row>
    <row r="32" spans="1:24" ht="30">
      <c r="A32" s="3">
        <v>78.099999999999994</v>
      </c>
      <c r="B32" s="3">
        <v>87.6</v>
      </c>
      <c r="C32" s="2">
        <v>14</v>
      </c>
      <c r="D32" s="21">
        <f t="shared" si="10"/>
        <v>1093.3999999999999</v>
      </c>
      <c r="E32" s="21">
        <f t="shared" si="11"/>
        <v>1226.3999999999999</v>
      </c>
      <c r="F32" s="22">
        <f t="shared" si="15"/>
        <v>66</v>
      </c>
      <c r="G32" s="21">
        <f t="shared" si="8"/>
        <v>17.620253164556949</v>
      </c>
      <c r="H32" s="21">
        <f t="shared" si="16"/>
        <v>310.47332158307921</v>
      </c>
      <c r="I32" s="21">
        <f t="shared" si="12"/>
        <v>694.47152224204956</v>
      </c>
      <c r="J32" s="21">
        <f t="shared" si="17"/>
        <v>17.620253164556956</v>
      </c>
      <c r="K32" s="21">
        <f t="shared" si="13"/>
        <v>310.47332158307944</v>
      </c>
      <c r="L32" s="21">
        <f t="shared" si="14"/>
        <v>796.57477427456968</v>
      </c>
      <c r="Q32" s="47" t="s">
        <v>48</v>
      </c>
      <c r="R32" s="48">
        <f>SQRT(R31)</f>
        <v>25.255545227464701</v>
      </c>
      <c r="S32" s="48">
        <f>SQRT(S31)</f>
        <v>25.416924155278668</v>
      </c>
      <c r="U32" s="47" t="s">
        <v>48</v>
      </c>
      <c r="V32" s="48">
        <f>SQRT(V31)</f>
        <v>23.876567079789332</v>
      </c>
      <c r="W32" s="48">
        <f>SQRT(W31)</f>
        <v>24.029134555981628</v>
      </c>
      <c r="X32" s="55"/>
    </row>
    <row r="33" spans="1:24">
      <c r="A33" s="3">
        <v>87.7</v>
      </c>
      <c r="B33" s="3">
        <v>97.2</v>
      </c>
      <c r="C33" s="2">
        <v>5</v>
      </c>
      <c r="D33" s="21">
        <f t="shared" si="10"/>
        <v>438.5</v>
      </c>
      <c r="E33" s="21">
        <f t="shared" si="11"/>
        <v>486</v>
      </c>
      <c r="F33" s="22">
        <f t="shared" si="15"/>
        <v>71</v>
      </c>
      <c r="G33" s="21">
        <f t="shared" si="8"/>
        <v>27.220253164556958</v>
      </c>
      <c r="H33" s="21">
        <f t="shared" si="16"/>
        <v>740.94218234257312</v>
      </c>
      <c r="I33" s="21">
        <f t="shared" si="12"/>
        <v>1384.9621290237289</v>
      </c>
      <c r="J33" s="21">
        <f t="shared" si="17"/>
        <v>27.220253164556965</v>
      </c>
      <c r="K33" s="21">
        <f t="shared" si="13"/>
        <v>740.94218234257346</v>
      </c>
      <c r="L33" s="21">
        <f t="shared" si="14"/>
        <v>1469.4275761782003</v>
      </c>
      <c r="X33" s="55"/>
    </row>
    <row r="34" spans="1:24">
      <c r="A34" s="3">
        <v>97.3</v>
      </c>
      <c r="B34" s="3">
        <v>106.8</v>
      </c>
      <c r="C34" s="2">
        <v>6</v>
      </c>
      <c r="D34" s="21">
        <f t="shared" si="10"/>
        <v>583.79999999999995</v>
      </c>
      <c r="E34" s="21">
        <f t="shared" si="11"/>
        <v>640.79999999999995</v>
      </c>
      <c r="F34" s="22">
        <f t="shared" si="15"/>
        <v>77</v>
      </c>
      <c r="G34" s="21">
        <f t="shared" si="8"/>
        <v>36.820253164556952</v>
      </c>
      <c r="H34" s="21">
        <f t="shared" si="16"/>
        <v>1355.7310431020662</v>
      </c>
      <c r="I34" s="21">
        <f t="shared" si="12"/>
        <v>4132.1984572674974</v>
      </c>
      <c r="J34" s="21">
        <f t="shared" si="17"/>
        <v>36.820253164556959</v>
      </c>
      <c r="K34" s="21">
        <f t="shared" si="13"/>
        <v>1355.7310431020667</v>
      </c>
      <c r="L34" s="21">
        <f t="shared" si="14"/>
        <v>4291.1569938528628</v>
      </c>
      <c r="X34" s="55"/>
    </row>
    <row r="35" spans="1:24">
      <c r="A35" s="3">
        <v>106.9</v>
      </c>
      <c r="B35" s="3">
        <v>116.4</v>
      </c>
      <c r="C35" s="2">
        <v>2</v>
      </c>
      <c r="D35" s="21">
        <f t="shared" si="10"/>
        <v>213.8</v>
      </c>
      <c r="E35" s="21">
        <f t="shared" si="11"/>
        <v>232.8</v>
      </c>
      <c r="F35" s="22">
        <f t="shared" si="15"/>
        <v>79</v>
      </c>
      <c r="G35" s="21">
        <f t="shared" si="8"/>
        <v>46.420253164556961</v>
      </c>
      <c r="H35" s="21">
        <f t="shared" si="16"/>
        <v>2154.8399038615607</v>
      </c>
      <c r="I35" s="21">
        <f t="shared" si="12"/>
        <v>2569.4541199021746</v>
      </c>
      <c r="J35" s="21">
        <f t="shared" si="17"/>
        <v>46.420253164556968</v>
      </c>
      <c r="K35" s="21">
        <f t="shared" si="13"/>
        <v>2154.8399038615612</v>
      </c>
      <c r="L35" s="21">
        <f t="shared" si="14"/>
        <v>2641.6402987639635</v>
      </c>
      <c r="X35" s="55"/>
    </row>
    <row r="36" spans="1:24" ht="15.75" thickBot="1">
      <c r="A36" s="40" t="s">
        <v>2</v>
      </c>
      <c r="B36" s="41"/>
      <c r="C36" s="42">
        <f>SUM(C26:C35)</f>
        <v>79</v>
      </c>
      <c r="D36" s="43">
        <f>SUM(D26:D35)</f>
        <v>4777.9000000000005</v>
      </c>
      <c r="E36" s="44">
        <f>SUM(E26:E35)</f>
        <v>5528.4000000000005</v>
      </c>
      <c r="F36" s="45"/>
      <c r="G36" s="25"/>
      <c r="I36" s="21">
        <f>SUM(I26:I35)</f>
        <v>50389.562614184681</v>
      </c>
      <c r="J36" s="25"/>
      <c r="L36" s="21">
        <f>SUM(L26:L35)</f>
        <v>45037.145985738694</v>
      </c>
      <c r="X36" s="55"/>
    </row>
    <row r="37" spans="1:24" ht="15.75" thickBot="1">
      <c r="F37" s="25"/>
      <c r="X37" s="55"/>
    </row>
    <row r="38" spans="1:24">
      <c r="A38" s="26" t="s">
        <v>27</v>
      </c>
      <c r="B38" s="35" t="s">
        <v>29</v>
      </c>
      <c r="D38" s="26" t="s">
        <v>32</v>
      </c>
      <c r="E38" s="37">
        <v>76.89</v>
      </c>
      <c r="G38" s="26" t="s">
        <v>37</v>
      </c>
      <c r="H38" s="37">
        <v>60.7</v>
      </c>
      <c r="X38" s="55"/>
    </row>
    <row r="39" spans="1:24" ht="15.75" thickBot="1">
      <c r="A39" s="36" t="s">
        <v>28</v>
      </c>
      <c r="B39" s="19">
        <v>62.53</v>
      </c>
      <c r="C39" t="s">
        <v>33</v>
      </c>
      <c r="D39" s="36" t="s">
        <v>34</v>
      </c>
      <c r="E39" s="19">
        <v>85.89</v>
      </c>
      <c r="G39" s="36" t="s">
        <v>38</v>
      </c>
      <c r="H39" s="19">
        <v>69.7</v>
      </c>
      <c r="X39" s="55"/>
    </row>
    <row r="40" spans="1:24" ht="15.75" thickBot="1">
      <c r="X40" s="55"/>
    </row>
    <row r="41" spans="1:24">
      <c r="A41" s="26" t="s">
        <v>30</v>
      </c>
      <c r="B41" s="37">
        <v>87.65</v>
      </c>
      <c r="D41" s="26" t="s">
        <v>35</v>
      </c>
      <c r="E41" s="37">
        <v>91.57</v>
      </c>
      <c r="G41" s="26" t="s">
        <v>39</v>
      </c>
      <c r="H41" s="37">
        <v>96</v>
      </c>
      <c r="X41" s="55"/>
    </row>
    <row r="42" spans="1:24" ht="15.75" thickBot="1">
      <c r="A42" s="36" t="s">
        <v>31</v>
      </c>
      <c r="B42" s="19">
        <v>96.65</v>
      </c>
      <c r="D42" s="36" t="s">
        <v>36</v>
      </c>
      <c r="E42" s="19">
        <v>100.57</v>
      </c>
      <c r="G42" s="36" t="s">
        <v>40</v>
      </c>
      <c r="H42" s="19">
        <v>105</v>
      </c>
      <c r="X42" s="55"/>
    </row>
    <row r="43" spans="1:24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X43" s="55"/>
    </row>
    <row r="44" spans="1:2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5"/>
      <c r="X44" s="55"/>
    </row>
    <row r="45" spans="1:24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X45" s="55"/>
    </row>
    <row r="46" spans="1:24" ht="15.75" thickBot="1">
      <c r="A46" s="16" t="s">
        <v>7</v>
      </c>
      <c r="B46" s="16"/>
      <c r="C46" s="16"/>
      <c r="D46" s="16"/>
      <c r="E46" s="16"/>
      <c r="F46" s="16"/>
      <c r="X46" s="55"/>
    </row>
    <row r="47" spans="1:24">
      <c r="A47" s="1" t="s">
        <v>0</v>
      </c>
      <c r="B47" s="1" t="s">
        <v>3</v>
      </c>
      <c r="C47" s="1" t="s">
        <v>1</v>
      </c>
      <c r="D47" s="20" t="s">
        <v>18</v>
      </c>
      <c r="E47" s="20" t="s">
        <v>19</v>
      </c>
      <c r="F47" s="20" t="s">
        <v>20</v>
      </c>
      <c r="G47" s="20" t="s">
        <v>42</v>
      </c>
      <c r="H47" s="20" t="s">
        <v>43</v>
      </c>
      <c r="I47" s="20" t="s">
        <v>41</v>
      </c>
      <c r="J47" s="20" t="s">
        <v>49</v>
      </c>
      <c r="K47" s="20" t="s">
        <v>50</v>
      </c>
      <c r="L47" s="20" t="s">
        <v>51</v>
      </c>
      <c r="N47" s="28" t="s">
        <v>21</v>
      </c>
      <c r="O47" s="29"/>
      <c r="Q47" s="38" t="s">
        <v>24</v>
      </c>
      <c r="R47" s="39"/>
      <c r="T47" s="38" t="s">
        <v>25</v>
      </c>
      <c r="U47" s="39"/>
      <c r="X47" s="55"/>
    </row>
    <row r="48" spans="1:24">
      <c r="A48" s="3">
        <v>45</v>
      </c>
      <c r="B48" s="3">
        <v>54</v>
      </c>
      <c r="C48" s="2">
        <v>8</v>
      </c>
      <c r="D48" s="21">
        <f>C48*A48</f>
        <v>360</v>
      </c>
      <c r="E48" s="21">
        <f>C48*B48</f>
        <v>432</v>
      </c>
      <c r="F48" s="22">
        <f>C48</f>
        <v>8</v>
      </c>
      <c r="G48" s="21">
        <f>A48-O$48</f>
        <v>-45.335820895522389</v>
      </c>
      <c r="H48" s="21">
        <f>(A48-O$48)^2</f>
        <v>2055.3366562708843</v>
      </c>
      <c r="I48" s="21">
        <f>C48*(A48-O$48)^2</f>
        <v>16442.693250167074</v>
      </c>
      <c r="J48" s="21">
        <f>B48-O$49</f>
        <v>-45.335820895522389</v>
      </c>
      <c r="K48" s="21">
        <f>(B48-O$49)^2</f>
        <v>2055.3366562708843</v>
      </c>
      <c r="L48" s="21">
        <f>C48*(B48-O$49)^2</f>
        <v>16442.693250167074</v>
      </c>
      <c r="N48" s="30" t="s">
        <v>22</v>
      </c>
      <c r="O48" s="31">
        <f>D57/C57</f>
        <v>90.335820895522389</v>
      </c>
      <c r="Q48" s="34" t="s">
        <v>22</v>
      </c>
      <c r="R48" s="23">
        <f>INDEX(A48:A56,MATCH(MAX(C48:C56),C48:C56,0))</f>
        <v>115</v>
      </c>
      <c r="T48" s="34" t="s">
        <v>22</v>
      </c>
      <c r="U48" s="23">
        <f>INDEX(A48:A56,MATCH((1+C57)/2,F48:F56))</f>
        <v>75</v>
      </c>
      <c r="X48" s="55"/>
    </row>
    <row r="49" spans="1:24" ht="15.75" thickBot="1">
      <c r="A49" s="3">
        <v>55</v>
      </c>
      <c r="B49" s="3">
        <v>64</v>
      </c>
      <c r="C49" s="2">
        <v>15</v>
      </c>
      <c r="D49" s="21">
        <f t="shared" ref="D49:D56" si="18">C49*A49</f>
        <v>825</v>
      </c>
      <c r="E49" s="21">
        <f t="shared" ref="E49:E56" si="19">C49*B49</f>
        <v>960</v>
      </c>
      <c r="F49" s="22">
        <f>F48+C49</f>
        <v>23</v>
      </c>
      <c r="G49" s="21">
        <f t="shared" ref="G49:G56" si="20">A49-O$48</f>
        <v>-35.335820895522389</v>
      </c>
      <c r="H49" s="21">
        <f t="shared" ref="H49:H56" si="21">(A49-O$48)^2</f>
        <v>1248.6202383604366</v>
      </c>
      <c r="I49" s="21">
        <f t="shared" ref="I49:I56" si="22">C49*(A49-O$48)^2</f>
        <v>18729.303575406549</v>
      </c>
      <c r="J49" s="21">
        <f t="shared" ref="J49:J56" si="23">B49-O$49</f>
        <v>-35.335820895522389</v>
      </c>
      <c r="K49" s="21">
        <f t="shared" ref="K49:K56" si="24">(B49-O$49)^2</f>
        <v>1248.6202383604366</v>
      </c>
      <c r="L49" s="21">
        <f t="shared" ref="L49:L56" si="25">C49*(B49-O$49)^2</f>
        <v>18729.303575406549</v>
      </c>
      <c r="N49" s="32" t="s">
        <v>23</v>
      </c>
      <c r="O49" s="33">
        <f>E57/C57</f>
        <v>99.335820895522389</v>
      </c>
      <c r="Q49" s="32" t="s">
        <v>23</v>
      </c>
      <c r="R49" s="24">
        <f>INDEX(B48:B56,MATCH(MAX(C48:C56),C48:C56,0))</f>
        <v>124</v>
      </c>
      <c r="T49" s="32" t="s">
        <v>26</v>
      </c>
      <c r="U49" s="24">
        <f>INDEX(B48:B56,MATCH((1+C57)/2,F48:F56))</f>
        <v>84</v>
      </c>
      <c r="X49" s="55"/>
    </row>
    <row r="50" spans="1:24">
      <c r="A50" s="3">
        <v>65</v>
      </c>
      <c r="B50" s="3">
        <v>74</v>
      </c>
      <c r="C50" s="2">
        <v>30</v>
      </c>
      <c r="D50" s="21">
        <f t="shared" si="18"/>
        <v>1950</v>
      </c>
      <c r="E50" s="21">
        <f t="shared" si="19"/>
        <v>2220</v>
      </c>
      <c r="F50" s="22">
        <f t="shared" ref="F50:F56" si="26">F49+C50</f>
        <v>53</v>
      </c>
      <c r="G50" s="21">
        <f t="shared" si="20"/>
        <v>-25.335820895522389</v>
      </c>
      <c r="H50" s="21">
        <f t="shared" si="21"/>
        <v>641.90382044998887</v>
      </c>
      <c r="I50" s="21">
        <f t="shared" si="22"/>
        <v>19257.114613499667</v>
      </c>
      <c r="J50" s="21">
        <f t="shared" si="23"/>
        <v>-25.335820895522389</v>
      </c>
      <c r="K50" s="21">
        <f t="shared" si="24"/>
        <v>641.90382044998887</v>
      </c>
      <c r="L50" s="21">
        <f t="shared" si="25"/>
        <v>19257.114613499667</v>
      </c>
      <c r="X50" s="55"/>
    </row>
    <row r="51" spans="1:24">
      <c r="A51" s="3">
        <v>75</v>
      </c>
      <c r="B51" s="3">
        <v>84</v>
      </c>
      <c r="C51" s="2">
        <v>45</v>
      </c>
      <c r="D51" s="21">
        <f t="shared" si="18"/>
        <v>3375</v>
      </c>
      <c r="E51" s="21">
        <f t="shared" si="19"/>
        <v>3780</v>
      </c>
      <c r="F51" s="22">
        <f t="shared" si="26"/>
        <v>98</v>
      </c>
      <c r="G51" s="21">
        <f t="shared" si="20"/>
        <v>-15.335820895522389</v>
      </c>
      <c r="H51" s="21">
        <f t="shared" si="21"/>
        <v>235.18740253954113</v>
      </c>
      <c r="I51" s="21">
        <f t="shared" si="22"/>
        <v>10583.433114279351</v>
      </c>
      <c r="J51" s="21">
        <f t="shared" si="23"/>
        <v>-15.335820895522389</v>
      </c>
      <c r="K51" s="21">
        <f t="shared" si="24"/>
        <v>235.18740253954113</v>
      </c>
      <c r="L51" s="21">
        <f t="shared" si="25"/>
        <v>10583.433114279351</v>
      </c>
      <c r="Q51" s="16" t="s">
        <v>0</v>
      </c>
      <c r="R51" s="16"/>
      <c r="S51" s="16"/>
      <c r="U51" s="16" t="s">
        <v>3</v>
      </c>
      <c r="V51" s="16"/>
      <c r="W51" s="16"/>
      <c r="X51" s="55"/>
    </row>
    <row r="52" spans="1:24">
      <c r="A52" s="3">
        <v>85</v>
      </c>
      <c r="B52" s="3">
        <v>94</v>
      </c>
      <c r="C52" s="2">
        <v>50</v>
      </c>
      <c r="D52" s="21">
        <f t="shared" si="18"/>
        <v>4250</v>
      </c>
      <c r="E52" s="21">
        <f t="shared" si="19"/>
        <v>4700</v>
      </c>
      <c r="F52" s="22">
        <f t="shared" si="26"/>
        <v>148</v>
      </c>
      <c r="G52" s="21">
        <f t="shared" si="20"/>
        <v>-5.3358208955223887</v>
      </c>
      <c r="H52" s="21">
        <f t="shared" si="21"/>
        <v>28.470984629093348</v>
      </c>
      <c r="I52" s="21">
        <f t="shared" si="22"/>
        <v>1423.5492314546673</v>
      </c>
      <c r="J52" s="21">
        <f t="shared" si="23"/>
        <v>-5.3358208955223887</v>
      </c>
      <c r="K52" s="21">
        <f t="shared" si="24"/>
        <v>28.470984629093348</v>
      </c>
      <c r="L52" s="21">
        <f t="shared" si="25"/>
        <v>1423.5492314546673</v>
      </c>
      <c r="Q52" s="46" t="s">
        <v>44</v>
      </c>
      <c r="R52" s="46" t="s">
        <v>45</v>
      </c>
      <c r="S52" s="46" t="s">
        <v>46</v>
      </c>
      <c r="U52" s="46" t="s">
        <v>44</v>
      </c>
      <c r="V52" s="46" t="s">
        <v>45</v>
      </c>
      <c r="W52" s="46" t="s">
        <v>46</v>
      </c>
      <c r="X52" s="55"/>
    </row>
    <row r="53" spans="1:24">
      <c r="A53" s="3">
        <v>95</v>
      </c>
      <c r="B53" s="3">
        <v>104</v>
      </c>
      <c r="C53" s="2">
        <v>25</v>
      </c>
      <c r="D53" s="21">
        <f t="shared" si="18"/>
        <v>2375</v>
      </c>
      <c r="E53" s="21">
        <f t="shared" si="19"/>
        <v>2600</v>
      </c>
      <c r="F53" s="22">
        <f t="shared" si="26"/>
        <v>173</v>
      </c>
      <c r="G53" s="21">
        <f t="shared" si="20"/>
        <v>4.6641791044776113</v>
      </c>
      <c r="H53" s="21">
        <f t="shared" si="21"/>
        <v>21.754566718645574</v>
      </c>
      <c r="I53" s="21">
        <f t="shared" si="22"/>
        <v>543.86416796613935</v>
      </c>
      <c r="J53" s="21">
        <f t="shared" si="23"/>
        <v>4.6641791044776113</v>
      </c>
      <c r="K53" s="21">
        <f t="shared" si="24"/>
        <v>21.754566718645574</v>
      </c>
      <c r="L53" s="21">
        <f t="shared" si="25"/>
        <v>543.86416796613935</v>
      </c>
      <c r="Q53" s="47" t="s">
        <v>47</v>
      </c>
      <c r="R53" s="21">
        <f>I57/C57</f>
        <v>506.23050790822009</v>
      </c>
      <c r="S53" s="21">
        <f>I57/(C57-1)</f>
        <v>508.1265023198614</v>
      </c>
      <c r="U53" s="47" t="s">
        <v>47</v>
      </c>
      <c r="V53" s="21">
        <f>L57/C57</f>
        <v>506.23050790822009</v>
      </c>
      <c r="W53" s="21">
        <f>L57/(C57-1)</f>
        <v>508.1265023198614</v>
      </c>
      <c r="X53" s="55"/>
    </row>
    <row r="54" spans="1:24" ht="30">
      <c r="A54" s="3">
        <v>105</v>
      </c>
      <c r="B54" s="3">
        <v>114</v>
      </c>
      <c r="C54" s="2">
        <v>10</v>
      </c>
      <c r="D54" s="21">
        <f t="shared" si="18"/>
        <v>1050</v>
      </c>
      <c r="E54" s="21">
        <f t="shared" si="19"/>
        <v>1140</v>
      </c>
      <c r="F54" s="22">
        <f t="shared" si="26"/>
        <v>183</v>
      </c>
      <c r="G54" s="21">
        <f t="shared" si="20"/>
        <v>14.664179104477611</v>
      </c>
      <c r="H54" s="21">
        <f t="shared" si="21"/>
        <v>215.0381488081978</v>
      </c>
      <c r="I54" s="21">
        <f t="shared" si="22"/>
        <v>2150.3814880819782</v>
      </c>
      <c r="J54" s="21">
        <f t="shared" si="23"/>
        <v>14.664179104477611</v>
      </c>
      <c r="K54" s="21">
        <f t="shared" si="24"/>
        <v>215.0381488081978</v>
      </c>
      <c r="L54" s="21">
        <f t="shared" si="25"/>
        <v>2150.3814880819782</v>
      </c>
      <c r="Q54" s="47" t="s">
        <v>48</v>
      </c>
      <c r="R54" s="48">
        <f>SQRT(R53)</f>
        <v>22.499566838235356</v>
      </c>
      <c r="S54" s="48">
        <f>SQRT(S53)</f>
        <v>22.541661480908221</v>
      </c>
      <c r="U54" s="47" t="s">
        <v>48</v>
      </c>
      <c r="V54" s="48">
        <f>SQRT(V53)</f>
        <v>22.499566838235356</v>
      </c>
      <c r="W54" s="48">
        <f>SQRT(W53)</f>
        <v>22.541661480908221</v>
      </c>
      <c r="X54" s="55"/>
    </row>
    <row r="55" spans="1:24">
      <c r="A55" s="3">
        <v>115</v>
      </c>
      <c r="B55" s="3">
        <v>124</v>
      </c>
      <c r="C55" s="2">
        <v>60</v>
      </c>
      <c r="D55" s="21">
        <f t="shared" si="18"/>
        <v>6900</v>
      </c>
      <c r="E55" s="21">
        <f t="shared" si="19"/>
        <v>7440</v>
      </c>
      <c r="F55" s="22">
        <f t="shared" si="26"/>
        <v>243</v>
      </c>
      <c r="G55" s="21">
        <f t="shared" si="20"/>
        <v>24.664179104477611</v>
      </c>
      <c r="H55" s="21">
        <f t="shared" si="21"/>
        <v>608.32173089775006</v>
      </c>
      <c r="I55" s="21">
        <f t="shared" si="22"/>
        <v>36499.303853865</v>
      </c>
      <c r="J55" s="21">
        <f t="shared" si="23"/>
        <v>24.664179104477611</v>
      </c>
      <c r="K55" s="21">
        <f t="shared" si="24"/>
        <v>608.32173089775006</v>
      </c>
      <c r="L55" s="21">
        <f t="shared" si="25"/>
        <v>36499.303853865</v>
      </c>
      <c r="X55" s="55"/>
    </row>
    <row r="56" spans="1:24">
      <c r="A56" s="3">
        <v>125</v>
      </c>
      <c r="B56" s="3">
        <v>134</v>
      </c>
      <c r="C56" s="2">
        <v>25</v>
      </c>
      <c r="D56" s="21">
        <f t="shared" si="18"/>
        <v>3125</v>
      </c>
      <c r="E56" s="21">
        <f t="shared" si="19"/>
        <v>3350</v>
      </c>
      <c r="F56" s="22">
        <f t="shared" si="26"/>
        <v>268</v>
      </c>
      <c r="G56" s="21">
        <f t="shared" si="20"/>
        <v>34.664179104477611</v>
      </c>
      <c r="H56" s="21">
        <f t="shared" si="21"/>
        <v>1201.6053129873023</v>
      </c>
      <c r="I56" s="21">
        <f t="shared" si="22"/>
        <v>30040.132824682558</v>
      </c>
      <c r="J56" s="21">
        <f t="shared" si="23"/>
        <v>34.664179104477611</v>
      </c>
      <c r="K56" s="21">
        <f t="shared" si="24"/>
        <v>1201.6053129873023</v>
      </c>
      <c r="L56" s="21">
        <f t="shared" si="25"/>
        <v>30040.132824682558</v>
      </c>
      <c r="X56" s="55"/>
    </row>
    <row r="57" spans="1:24" ht="15.75" thickBot="1">
      <c r="A57" s="40" t="s">
        <v>2</v>
      </c>
      <c r="B57" s="41"/>
      <c r="C57" s="42">
        <f>SUM(C48:C56)</f>
        <v>268</v>
      </c>
      <c r="D57" s="43">
        <f>SUM(D48:D56)</f>
        <v>24210</v>
      </c>
      <c r="E57" s="44">
        <f>SUM(E48:E56)</f>
        <v>26622</v>
      </c>
      <c r="F57" s="45"/>
      <c r="G57" s="25"/>
      <c r="I57" s="21">
        <f>SUM(I48:I56)</f>
        <v>135669.77611940299</v>
      </c>
      <c r="J57" s="25"/>
      <c r="L57" s="21">
        <f>SUM(L48:L56)</f>
        <v>135669.77611940299</v>
      </c>
      <c r="X57" s="55"/>
    </row>
    <row r="58" spans="1:24" ht="15.75" thickBot="1">
      <c r="F58" s="25"/>
      <c r="X58" s="55"/>
    </row>
    <row r="59" spans="1:24">
      <c r="A59" s="26" t="s">
        <v>27</v>
      </c>
      <c r="B59" s="35" t="s">
        <v>29</v>
      </c>
      <c r="D59" s="26" t="s">
        <v>32</v>
      </c>
      <c r="E59" s="37">
        <v>76.89</v>
      </c>
      <c r="G59" s="26" t="s">
        <v>37</v>
      </c>
      <c r="H59" s="37">
        <v>60.7</v>
      </c>
      <c r="X59" s="55"/>
    </row>
    <row r="60" spans="1:24" ht="15.75" thickBot="1">
      <c r="A60" s="36" t="s">
        <v>28</v>
      </c>
      <c r="B60" s="19">
        <v>62.53</v>
      </c>
      <c r="C60" t="s">
        <v>33</v>
      </c>
      <c r="D60" s="36" t="s">
        <v>34</v>
      </c>
      <c r="E60" s="19">
        <v>85.89</v>
      </c>
      <c r="G60" s="36" t="s">
        <v>38</v>
      </c>
      <c r="H60" s="19">
        <v>69.7</v>
      </c>
      <c r="X60" s="55"/>
    </row>
    <row r="61" spans="1:24" ht="15.75" thickBot="1">
      <c r="X61" s="55"/>
    </row>
    <row r="62" spans="1:24">
      <c r="A62" s="26" t="s">
        <v>30</v>
      </c>
      <c r="B62" s="37">
        <v>87.65</v>
      </c>
      <c r="D62" s="26" t="s">
        <v>35</v>
      </c>
      <c r="E62" s="37">
        <v>91.57</v>
      </c>
      <c r="G62" s="26" t="s">
        <v>39</v>
      </c>
      <c r="H62" s="37">
        <v>96</v>
      </c>
      <c r="X62" s="55"/>
    </row>
    <row r="63" spans="1:24" ht="15.75" thickBot="1">
      <c r="A63" s="36" t="s">
        <v>31</v>
      </c>
      <c r="B63" s="19">
        <v>96.65</v>
      </c>
      <c r="D63" s="36" t="s">
        <v>36</v>
      </c>
      <c r="E63" s="19">
        <v>100.57</v>
      </c>
      <c r="G63" s="36" t="s">
        <v>40</v>
      </c>
      <c r="H63" s="19">
        <v>105</v>
      </c>
      <c r="X63" s="55"/>
    </row>
    <row r="64" spans="1:24">
      <c r="X64" s="55"/>
    </row>
    <row r="65" spans="1:24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</row>
    <row r="66" spans="1:24">
      <c r="X66" s="55"/>
    </row>
    <row r="67" spans="1:24" ht="15.75" thickBot="1">
      <c r="A67" s="10" t="s">
        <v>8</v>
      </c>
      <c r="B67" s="11"/>
      <c r="C67" s="12"/>
      <c r="D67" s="10"/>
      <c r="E67" s="11"/>
      <c r="F67" s="12"/>
      <c r="X67" s="55"/>
    </row>
    <row r="68" spans="1:24">
      <c r="A68" s="1" t="s">
        <v>0</v>
      </c>
      <c r="B68" s="1" t="s">
        <v>3</v>
      </c>
      <c r="C68" s="1" t="s">
        <v>1</v>
      </c>
      <c r="D68" s="20" t="s">
        <v>18</v>
      </c>
      <c r="E68" s="20" t="s">
        <v>19</v>
      </c>
      <c r="F68" s="20" t="s">
        <v>20</v>
      </c>
      <c r="G68" s="20" t="s">
        <v>42</v>
      </c>
      <c r="H68" s="20" t="s">
        <v>43</v>
      </c>
      <c r="I68" s="20" t="s">
        <v>41</v>
      </c>
      <c r="J68" s="20" t="s">
        <v>49</v>
      </c>
      <c r="K68" s="20" t="s">
        <v>50</v>
      </c>
      <c r="L68" s="20" t="s">
        <v>51</v>
      </c>
      <c r="N68" s="28" t="s">
        <v>21</v>
      </c>
      <c r="O68" s="29"/>
      <c r="Q68" s="38" t="s">
        <v>24</v>
      </c>
      <c r="R68" s="39"/>
      <c r="T68" s="38" t="s">
        <v>25</v>
      </c>
      <c r="U68" s="39"/>
      <c r="X68" s="55"/>
    </row>
    <row r="69" spans="1:24">
      <c r="A69" s="3">
        <v>1</v>
      </c>
      <c r="B69" s="3">
        <v>5</v>
      </c>
      <c r="C69" s="2">
        <v>8</v>
      </c>
      <c r="D69" s="21">
        <f>C69*A69</f>
        <v>8</v>
      </c>
      <c r="E69" s="21">
        <f>C69*B69</f>
        <v>40</v>
      </c>
      <c r="F69" s="22">
        <f>C69</f>
        <v>8</v>
      </c>
      <c r="G69" s="21">
        <f>A69-O$69</f>
        <v>-22.667910447761194</v>
      </c>
      <c r="H69" s="21">
        <f>(A69-O$69)^2</f>
        <v>513.83416406772108</v>
      </c>
      <c r="I69" s="21">
        <f>C69*(A69-O$69)^2</f>
        <v>4110.6733125417686</v>
      </c>
      <c r="J69" s="21">
        <f>B69-O$70</f>
        <v>-22.667910447761194</v>
      </c>
      <c r="K69" s="21">
        <f>(B69-O$70)^2</f>
        <v>513.83416406772108</v>
      </c>
      <c r="L69" s="21">
        <f>C69*(B69-O$70)^2</f>
        <v>4110.6733125417686</v>
      </c>
      <c r="N69" s="30" t="s">
        <v>22</v>
      </c>
      <c r="O69" s="31">
        <f>D78/C78</f>
        <v>23.667910447761194</v>
      </c>
      <c r="Q69" s="34" t="s">
        <v>22</v>
      </c>
      <c r="R69" s="23">
        <f>INDEX(A69:A77,MATCH(MAX(C69:C77),C69:C77,0))</f>
        <v>36</v>
      </c>
      <c r="T69" s="34" t="s">
        <v>22</v>
      </c>
      <c r="U69" s="23">
        <f>INDEX(A69:A77,MATCH((1+C78)/2,F69:F77))</f>
        <v>16</v>
      </c>
      <c r="X69" s="55"/>
    </row>
    <row r="70" spans="1:24" ht="15.75" thickBot="1">
      <c r="A70" s="3">
        <v>6</v>
      </c>
      <c r="B70" s="3">
        <v>10</v>
      </c>
      <c r="C70" s="2">
        <v>15</v>
      </c>
      <c r="D70" s="21">
        <f t="shared" ref="D70:D77" si="27">C70*A70</f>
        <v>90</v>
      </c>
      <c r="E70" s="21">
        <f t="shared" ref="E70:E77" si="28">C70*B70</f>
        <v>150</v>
      </c>
      <c r="F70" s="22">
        <f>F69+C70</f>
        <v>23</v>
      </c>
      <c r="G70" s="21">
        <f t="shared" ref="G70:G77" si="29">A70-O$69</f>
        <v>-17.667910447761194</v>
      </c>
      <c r="H70" s="21">
        <f t="shared" ref="H70:H77" si="30">(A70-O$69)^2</f>
        <v>312.15505959010915</v>
      </c>
      <c r="I70" s="21">
        <f t="shared" ref="I70:I77" si="31">C70*(A70-O$69)^2</f>
        <v>4682.3258938516374</v>
      </c>
      <c r="J70" s="21">
        <f t="shared" ref="J70:J77" si="32">B70-O$70</f>
        <v>-17.667910447761194</v>
      </c>
      <c r="K70" s="21">
        <f t="shared" ref="K70:K77" si="33">(B70-O$70)^2</f>
        <v>312.15505959010915</v>
      </c>
      <c r="L70" s="21">
        <f t="shared" ref="L70:L77" si="34">C70*(B70-O$70)^2</f>
        <v>4682.3258938516374</v>
      </c>
      <c r="N70" s="32" t="s">
        <v>23</v>
      </c>
      <c r="O70" s="33">
        <f>E78/C78</f>
        <v>27.667910447761194</v>
      </c>
      <c r="Q70" s="32" t="s">
        <v>23</v>
      </c>
      <c r="R70" s="24">
        <f>INDEX(B69:B77,MATCH(MAX(C69:C77),C69:C77,0))</f>
        <v>40</v>
      </c>
      <c r="T70" s="32" t="s">
        <v>26</v>
      </c>
      <c r="U70" s="24">
        <f>INDEX(B69:B77,MATCH((1+C78)/2,F69:F77))</f>
        <v>20</v>
      </c>
      <c r="X70" s="55"/>
    </row>
    <row r="71" spans="1:24">
      <c r="A71" s="3">
        <v>11</v>
      </c>
      <c r="B71" s="3">
        <v>15</v>
      </c>
      <c r="C71" s="2">
        <v>30</v>
      </c>
      <c r="D71" s="21">
        <f t="shared" si="27"/>
        <v>330</v>
      </c>
      <c r="E71" s="21">
        <f t="shared" si="28"/>
        <v>450</v>
      </c>
      <c r="F71" s="22">
        <f t="shared" ref="F71:F77" si="35">F70+C71</f>
        <v>53</v>
      </c>
      <c r="G71" s="21">
        <f t="shared" si="29"/>
        <v>-12.667910447761194</v>
      </c>
      <c r="H71" s="21">
        <f t="shared" si="30"/>
        <v>160.47595511249722</v>
      </c>
      <c r="I71" s="21">
        <f t="shared" si="31"/>
        <v>4814.2786533749168</v>
      </c>
      <c r="J71" s="21">
        <f t="shared" si="32"/>
        <v>-12.667910447761194</v>
      </c>
      <c r="K71" s="21">
        <f t="shared" si="33"/>
        <v>160.47595511249722</v>
      </c>
      <c r="L71" s="21">
        <f t="shared" si="34"/>
        <v>4814.2786533749168</v>
      </c>
      <c r="X71" s="55"/>
    </row>
    <row r="72" spans="1:24">
      <c r="A72" s="3">
        <v>16</v>
      </c>
      <c r="B72" s="3">
        <v>20</v>
      </c>
      <c r="C72" s="2">
        <v>45</v>
      </c>
      <c r="D72" s="21">
        <f t="shared" si="27"/>
        <v>720</v>
      </c>
      <c r="E72" s="21">
        <f t="shared" si="28"/>
        <v>900</v>
      </c>
      <c r="F72" s="22">
        <f t="shared" si="35"/>
        <v>98</v>
      </c>
      <c r="G72" s="21">
        <f t="shared" si="29"/>
        <v>-7.6679104477611943</v>
      </c>
      <c r="H72" s="21">
        <f t="shared" si="30"/>
        <v>58.796850634885281</v>
      </c>
      <c r="I72" s="21">
        <f t="shared" si="31"/>
        <v>2645.8582785698377</v>
      </c>
      <c r="J72" s="21">
        <f t="shared" si="32"/>
        <v>-7.6679104477611943</v>
      </c>
      <c r="K72" s="21">
        <f t="shared" si="33"/>
        <v>58.796850634885281</v>
      </c>
      <c r="L72" s="21">
        <f t="shared" si="34"/>
        <v>2645.8582785698377</v>
      </c>
      <c r="Q72" s="16" t="s">
        <v>0</v>
      </c>
      <c r="R72" s="16"/>
      <c r="S72" s="16"/>
      <c r="U72" s="16" t="s">
        <v>3</v>
      </c>
      <c r="V72" s="16"/>
      <c r="W72" s="16"/>
      <c r="X72" s="55"/>
    </row>
    <row r="73" spans="1:24">
      <c r="A73" s="3">
        <v>21</v>
      </c>
      <c r="B73" s="3">
        <v>25</v>
      </c>
      <c r="C73" s="2">
        <v>50</v>
      </c>
      <c r="D73" s="21">
        <f t="shared" si="27"/>
        <v>1050</v>
      </c>
      <c r="E73" s="21">
        <f t="shared" si="28"/>
        <v>1250</v>
      </c>
      <c r="F73" s="22">
        <f t="shared" si="35"/>
        <v>148</v>
      </c>
      <c r="G73" s="21">
        <f t="shared" si="29"/>
        <v>-2.6679104477611943</v>
      </c>
      <c r="H73" s="21">
        <f t="shared" si="30"/>
        <v>7.1177461572733369</v>
      </c>
      <c r="I73" s="21">
        <f t="shared" si="31"/>
        <v>355.88730786366682</v>
      </c>
      <c r="J73" s="21">
        <f t="shared" si="32"/>
        <v>-2.6679104477611943</v>
      </c>
      <c r="K73" s="21">
        <f t="shared" si="33"/>
        <v>7.1177461572733369</v>
      </c>
      <c r="L73" s="21">
        <f t="shared" si="34"/>
        <v>355.88730786366682</v>
      </c>
      <c r="Q73" s="46" t="s">
        <v>44</v>
      </c>
      <c r="R73" s="46" t="s">
        <v>45</v>
      </c>
      <c r="S73" s="46" t="s">
        <v>46</v>
      </c>
      <c r="U73" s="46" t="s">
        <v>44</v>
      </c>
      <c r="V73" s="46" t="s">
        <v>45</v>
      </c>
      <c r="W73" s="46" t="s">
        <v>46</v>
      </c>
      <c r="X73" s="55"/>
    </row>
    <row r="74" spans="1:24">
      <c r="A74" s="3">
        <v>26</v>
      </c>
      <c r="B74" s="3">
        <v>30</v>
      </c>
      <c r="C74" s="2">
        <v>25</v>
      </c>
      <c r="D74" s="21">
        <f t="shared" si="27"/>
        <v>650</v>
      </c>
      <c r="E74" s="21">
        <f t="shared" si="28"/>
        <v>750</v>
      </c>
      <c r="F74" s="22">
        <f t="shared" si="35"/>
        <v>173</v>
      </c>
      <c r="G74" s="21">
        <f t="shared" si="29"/>
        <v>2.3320895522388057</v>
      </c>
      <c r="H74" s="21">
        <f t="shared" si="30"/>
        <v>5.4386416796613934</v>
      </c>
      <c r="I74" s="21">
        <f t="shared" si="31"/>
        <v>135.96604199153484</v>
      </c>
      <c r="J74" s="21">
        <f t="shared" si="32"/>
        <v>2.3320895522388057</v>
      </c>
      <c r="K74" s="21">
        <f t="shared" si="33"/>
        <v>5.4386416796613934</v>
      </c>
      <c r="L74" s="21">
        <f t="shared" si="34"/>
        <v>135.96604199153484</v>
      </c>
      <c r="Q74" s="47" t="s">
        <v>47</v>
      </c>
      <c r="R74" s="21">
        <f>I78/C78</f>
        <v>126.55762697705502</v>
      </c>
      <c r="S74" s="21">
        <f>I78/(C78-1)</f>
        <v>127.03162557996535</v>
      </c>
      <c r="U74" s="47" t="s">
        <v>47</v>
      </c>
      <c r="V74" s="21">
        <f>L78/C78</f>
        <v>126.55762697705502</v>
      </c>
      <c r="W74" s="21">
        <f>L78/(C78-1)</f>
        <v>127.03162557996535</v>
      </c>
      <c r="X74" s="55"/>
    </row>
    <row r="75" spans="1:24" ht="30">
      <c r="A75" s="3">
        <v>31</v>
      </c>
      <c r="B75" s="3">
        <v>35</v>
      </c>
      <c r="C75" s="2">
        <v>10</v>
      </c>
      <c r="D75" s="21">
        <f t="shared" si="27"/>
        <v>310</v>
      </c>
      <c r="E75" s="21">
        <f t="shared" si="28"/>
        <v>350</v>
      </c>
      <c r="F75" s="22">
        <f t="shared" si="35"/>
        <v>183</v>
      </c>
      <c r="G75" s="21">
        <f t="shared" si="29"/>
        <v>7.3320895522388057</v>
      </c>
      <c r="H75" s="21">
        <f t="shared" si="30"/>
        <v>53.759537202049451</v>
      </c>
      <c r="I75" s="21">
        <f t="shared" si="31"/>
        <v>537.59537202049455</v>
      </c>
      <c r="J75" s="21">
        <f t="shared" si="32"/>
        <v>7.3320895522388057</v>
      </c>
      <c r="K75" s="21">
        <f t="shared" si="33"/>
        <v>53.759537202049451</v>
      </c>
      <c r="L75" s="21">
        <f t="shared" si="34"/>
        <v>537.59537202049455</v>
      </c>
      <c r="Q75" s="47" t="s">
        <v>48</v>
      </c>
      <c r="R75" s="48">
        <f>SQRT(R74)</f>
        <v>11.249783419117678</v>
      </c>
      <c r="S75" s="48">
        <f>SQRT(S74)</f>
        <v>11.270830740454111</v>
      </c>
      <c r="U75" s="47" t="s">
        <v>48</v>
      </c>
      <c r="V75" s="48">
        <f>SQRT(V74)</f>
        <v>11.249783419117678</v>
      </c>
      <c r="W75" s="48">
        <f>SQRT(W74)</f>
        <v>11.270830740454111</v>
      </c>
      <c r="X75" s="55"/>
    </row>
    <row r="76" spans="1:24">
      <c r="A76" s="3">
        <v>36</v>
      </c>
      <c r="B76" s="3">
        <v>40</v>
      </c>
      <c r="C76" s="2">
        <v>60</v>
      </c>
      <c r="D76" s="21">
        <f t="shared" si="27"/>
        <v>2160</v>
      </c>
      <c r="E76" s="21">
        <f t="shared" si="28"/>
        <v>2400</v>
      </c>
      <c r="F76" s="22">
        <f t="shared" si="35"/>
        <v>243</v>
      </c>
      <c r="G76" s="21">
        <f t="shared" si="29"/>
        <v>12.332089552238806</v>
      </c>
      <c r="H76" s="21">
        <f t="shared" si="30"/>
        <v>152.08043272443751</v>
      </c>
      <c r="I76" s="21">
        <f t="shared" si="31"/>
        <v>9124.82596346625</v>
      </c>
      <c r="J76" s="21">
        <f t="shared" si="32"/>
        <v>12.332089552238806</v>
      </c>
      <c r="K76" s="21">
        <f t="shared" si="33"/>
        <v>152.08043272443751</v>
      </c>
      <c r="L76" s="21">
        <f t="shared" si="34"/>
        <v>9124.82596346625</v>
      </c>
      <c r="X76" s="55"/>
    </row>
    <row r="77" spans="1:24">
      <c r="A77" s="3">
        <v>41</v>
      </c>
      <c r="B77" s="3">
        <v>45</v>
      </c>
      <c r="C77" s="2">
        <v>25</v>
      </c>
      <c r="D77" s="21">
        <f t="shared" si="27"/>
        <v>1025</v>
      </c>
      <c r="E77" s="21">
        <f t="shared" si="28"/>
        <v>1125</v>
      </c>
      <c r="F77" s="22">
        <f t="shared" si="35"/>
        <v>268</v>
      </c>
      <c r="G77" s="21">
        <f t="shared" si="29"/>
        <v>17.332089552238806</v>
      </c>
      <c r="H77" s="21">
        <f t="shared" si="30"/>
        <v>300.40132824682559</v>
      </c>
      <c r="I77" s="21">
        <f t="shared" si="31"/>
        <v>7510.0332061706395</v>
      </c>
      <c r="J77" s="21">
        <f t="shared" si="32"/>
        <v>17.332089552238806</v>
      </c>
      <c r="K77" s="21">
        <f t="shared" si="33"/>
        <v>300.40132824682559</v>
      </c>
      <c r="L77" s="21">
        <f t="shared" si="34"/>
        <v>7510.0332061706395</v>
      </c>
      <c r="X77" s="55"/>
    </row>
    <row r="78" spans="1:24" ht="15.75" thickBot="1">
      <c r="A78" s="40" t="s">
        <v>2</v>
      </c>
      <c r="B78" s="41"/>
      <c r="C78" s="42">
        <f>SUM(C69:C77)</f>
        <v>268</v>
      </c>
      <c r="D78" s="43">
        <f>SUM(D69:D77)</f>
        <v>6343</v>
      </c>
      <c r="E78" s="44">
        <f>SUM(E69:E77)</f>
        <v>7415</v>
      </c>
      <c r="F78" s="45"/>
      <c r="G78" s="25"/>
      <c r="I78" s="21">
        <f>SUM(I69:I77)</f>
        <v>33917.444029850747</v>
      </c>
      <c r="J78" s="25"/>
      <c r="L78" s="21">
        <f>SUM(L69:L77)</f>
        <v>33917.444029850747</v>
      </c>
      <c r="X78" s="55"/>
    </row>
    <row r="79" spans="1:24" ht="15.75" thickBot="1">
      <c r="F79" s="25"/>
      <c r="X79" s="55"/>
    </row>
    <row r="80" spans="1:24">
      <c r="A80" s="26" t="s">
        <v>27</v>
      </c>
      <c r="B80" s="35" t="s">
        <v>29</v>
      </c>
      <c r="D80" s="26" t="s">
        <v>32</v>
      </c>
      <c r="E80" s="37">
        <v>76.89</v>
      </c>
      <c r="G80" s="26" t="s">
        <v>37</v>
      </c>
      <c r="H80" s="37">
        <v>60.7</v>
      </c>
      <c r="X80" s="55"/>
    </row>
    <row r="81" spans="1:24" ht="15.75" thickBot="1">
      <c r="A81" s="36" t="s">
        <v>28</v>
      </c>
      <c r="B81" s="19">
        <v>62.53</v>
      </c>
      <c r="C81" t="s">
        <v>33</v>
      </c>
      <c r="D81" s="36" t="s">
        <v>34</v>
      </c>
      <c r="E81" s="19">
        <v>85.89</v>
      </c>
      <c r="G81" s="36" t="s">
        <v>38</v>
      </c>
      <c r="H81" s="19">
        <v>69.7</v>
      </c>
      <c r="X81" s="55"/>
    </row>
    <row r="82" spans="1:24" ht="15.75" thickBot="1">
      <c r="X82" s="55"/>
    </row>
    <row r="83" spans="1:24">
      <c r="A83" s="26" t="s">
        <v>30</v>
      </c>
      <c r="B83" s="37">
        <v>87.65</v>
      </c>
      <c r="D83" s="26" t="s">
        <v>35</v>
      </c>
      <c r="E83" s="37">
        <v>91.57</v>
      </c>
      <c r="G83" s="26" t="s">
        <v>39</v>
      </c>
      <c r="H83" s="37">
        <v>96</v>
      </c>
      <c r="X83" s="55"/>
    </row>
    <row r="84" spans="1:24" ht="15.75" thickBot="1">
      <c r="A84" s="36" t="s">
        <v>31</v>
      </c>
      <c r="B84" s="19">
        <v>96.65</v>
      </c>
      <c r="D84" s="36" t="s">
        <v>36</v>
      </c>
      <c r="E84" s="19">
        <v>100.57</v>
      </c>
      <c r="G84" s="36" t="s">
        <v>40</v>
      </c>
      <c r="H84" s="19">
        <v>105</v>
      </c>
      <c r="X84" s="55"/>
    </row>
    <row r="85" spans="1:24">
      <c r="X85" s="55"/>
    </row>
    <row r="86" spans="1:24">
      <c r="X86" s="55"/>
    </row>
    <row r="87" spans="1:24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</row>
  </sheetData>
  <mergeCells count="23">
    <mergeCell ref="N68:O68"/>
    <mergeCell ref="Q72:S72"/>
    <mergeCell ref="U72:W72"/>
    <mergeCell ref="A78:B78"/>
    <mergeCell ref="A67:C67"/>
    <mergeCell ref="D67:F67"/>
    <mergeCell ref="N47:O47"/>
    <mergeCell ref="Q51:S51"/>
    <mergeCell ref="U51:W51"/>
    <mergeCell ref="A57:B57"/>
    <mergeCell ref="A46:C46"/>
    <mergeCell ref="D46:F46"/>
    <mergeCell ref="U6:W6"/>
    <mergeCell ref="N25:O25"/>
    <mergeCell ref="Q29:S29"/>
    <mergeCell ref="U29:W29"/>
    <mergeCell ref="A36:B36"/>
    <mergeCell ref="A24:C24"/>
    <mergeCell ref="D24:F24"/>
    <mergeCell ref="Q6:S6"/>
    <mergeCell ref="A14:B14"/>
    <mergeCell ref="A1:F1"/>
    <mergeCell ref="N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3253-4C95-4092-BAFA-8997AF15C439}">
  <dimension ref="A1:N19"/>
  <sheetViews>
    <sheetView tabSelected="1" workbookViewId="0">
      <selection activeCell="I17" sqref="I17"/>
    </sheetView>
  </sheetViews>
  <sheetFormatPr baseColWidth="10" defaultRowHeight="15"/>
  <cols>
    <col min="2" max="2" width="11.28515625" customWidth="1"/>
  </cols>
  <sheetData>
    <row r="1" spans="1:14">
      <c r="A1" s="49" t="s">
        <v>52</v>
      </c>
      <c r="B1" s="49"/>
      <c r="C1" s="49"/>
      <c r="D1" s="49"/>
      <c r="N1" s="55"/>
    </row>
    <row r="2" spans="1:14">
      <c r="A2" s="22" t="s">
        <v>53</v>
      </c>
      <c r="B2" s="52">
        <f>2/6</f>
        <v>0.33333333333333331</v>
      </c>
      <c r="C2" s="53"/>
      <c r="D2" s="54"/>
      <c r="N2" s="55"/>
    </row>
    <row r="3" spans="1:14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>
      <c r="N4" s="55"/>
    </row>
    <row r="5" spans="1:14">
      <c r="A5" s="16" t="s">
        <v>15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N5" s="55"/>
    </row>
    <row r="6" spans="1:14">
      <c r="A6" s="22" t="s">
        <v>53</v>
      </c>
      <c r="B6" s="50">
        <f>9/13</f>
        <v>0.69230769230769229</v>
      </c>
      <c r="C6" s="50"/>
      <c r="D6" s="50"/>
      <c r="E6" s="50"/>
      <c r="F6" s="50"/>
      <c r="G6" s="50"/>
      <c r="H6" s="50"/>
      <c r="I6" s="50"/>
      <c r="J6" s="50"/>
      <c r="K6" s="50"/>
      <c r="L6" s="50"/>
      <c r="N6" s="55"/>
    </row>
    <row r="7" spans="1:14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4">
      <c r="N8" s="55"/>
    </row>
    <row r="9" spans="1:14">
      <c r="A9" s="51" t="s">
        <v>54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N9" s="55"/>
    </row>
    <row r="10" spans="1:14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N10" s="55"/>
    </row>
    <row r="11" spans="1:14" ht="4.5" customHeight="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N11" s="55"/>
    </row>
    <row r="12" spans="1:14">
      <c r="A12" s="22" t="s">
        <v>53</v>
      </c>
      <c r="B12" s="52">
        <f>8/15</f>
        <v>0.53333333333333333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  <c r="N12" s="55"/>
    </row>
    <row r="13" spans="1:14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>
      <c r="N14" s="55"/>
    </row>
    <row r="15" spans="1:14">
      <c r="A15" s="16" t="s">
        <v>17</v>
      </c>
      <c r="B15" s="16"/>
      <c r="C15" s="16"/>
      <c r="D15" s="16"/>
      <c r="E15" s="16"/>
      <c r="F15" s="16"/>
      <c r="G15" s="16"/>
      <c r="H15" s="16"/>
      <c r="N15" s="55"/>
    </row>
    <row r="16" spans="1:14">
      <c r="A16" s="22" t="s">
        <v>53</v>
      </c>
      <c r="B16" s="52">
        <f>48/52</f>
        <v>0.92307692307692313</v>
      </c>
      <c r="C16" s="53"/>
      <c r="D16" s="53"/>
      <c r="E16" s="53"/>
      <c r="F16" s="53"/>
      <c r="G16" s="53"/>
      <c r="H16" s="54"/>
      <c r="N16" s="55"/>
    </row>
    <row r="17" spans="1:14">
      <c r="N17" s="55"/>
    </row>
    <row r="18" spans="1:14">
      <c r="N18" s="55"/>
    </row>
    <row r="19" spans="1:14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</sheetData>
  <mergeCells count="8">
    <mergeCell ref="A15:H15"/>
    <mergeCell ref="B16:H16"/>
    <mergeCell ref="A1:D1"/>
    <mergeCell ref="B2:D2"/>
    <mergeCell ref="A5:L5"/>
    <mergeCell ref="B6:L6"/>
    <mergeCell ref="A9:L11"/>
    <mergeCell ref="B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Parte 1</vt:lpstr>
      <vt:lpstr>Parte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Alejandro V</dc:creator>
  <cp:lastModifiedBy>Kener Cartagena</cp:lastModifiedBy>
  <dcterms:created xsi:type="dcterms:W3CDTF">2025-10-22T01:52:59Z</dcterms:created>
  <dcterms:modified xsi:type="dcterms:W3CDTF">2025-11-13T02:43:20Z</dcterms:modified>
</cp:coreProperties>
</file>